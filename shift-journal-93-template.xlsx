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Обход оператора\93\"/>
    </mc:Choice>
  </mc:AlternateContent>
  <xr:revisionPtr revIDLastSave="0" documentId="13_ncr:1_{CA014FCD-7DAE-4EED-8197-CDE3BEB4EA1A}" xr6:coauthVersionLast="47" xr6:coauthVersionMax="47" xr10:uidLastSave="{00000000-0000-0000-0000-000000000000}"/>
  <bookViews>
    <workbookView xWindow="-120" yWindow="-120" windowWidth="20730" windowHeight="11160" activeTab="1" xr2:uid="{189D04FD-74BB-4673-9126-C5E9C84BF947}"/>
  </bookViews>
  <sheets>
    <sheet name="93" sheetId="1" r:id="rId1"/>
    <sheet name="Карта экспорт" sheetId="3" r:id="rId2"/>
  </sheets>
  <externalReferences>
    <externalReference r:id="rId3"/>
    <externalReference r:id="rId4"/>
    <externalReference r:id="rId5"/>
    <externalReference r:id="rId6"/>
  </externalReferences>
  <definedNames>
    <definedName name="вахта">#REF!</definedName>
    <definedName name="вахтовый">#REF!</definedName>
    <definedName name="ддд">[1]Лист1!$A$1:$IV$65536</definedName>
    <definedName name="ло">[2]Лист1!$1:$1048576</definedName>
    <definedName name="_xlnm.Print_Area" localSheetId="0">'93'!$A$1:$S$91</definedName>
    <definedName name="ппп">#REF!</definedName>
    <definedName name="реж">'[3]впр режим'!$1:$1048576</definedName>
    <definedName name="ррр">#REF!</definedName>
    <definedName name="т">[4]режим!$1:$1048576</definedName>
    <definedName name="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1" i="3" l="1"/>
  <c r="E190" i="3"/>
  <c r="E189" i="3"/>
  <c r="E188" i="3"/>
  <c r="E187" i="3"/>
  <c r="E186" i="3"/>
  <c r="E185" i="3"/>
  <c r="E184" i="3"/>
  <c r="E183" i="3"/>
  <c r="E182" i="3"/>
  <c r="E181" i="3"/>
  <c r="E180" i="3"/>
  <c r="E179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58" i="3"/>
  <c r="E159" i="3"/>
  <c r="E157" i="3"/>
  <c r="E155" i="3"/>
  <c r="E156" i="3"/>
  <c r="E149" i="3"/>
  <c r="E147" i="3"/>
  <c r="E148" i="3"/>
  <c r="E146" i="3"/>
  <c r="E143" i="3"/>
  <c r="E144" i="3"/>
  <c r="E145" i="3"/>
  <c r="E142" i="3"/>
  <c r="E139" i="3"/>
  <c r="E140" i="3"/>
  <c r="E141" i="3"/>
  <c r="E135" i="3"/>
  <c r="E136" i="3"/>
  <c r="E137" i="3"/>
  <c r="E134" i="3"/>
  <c r="E131" i="3"/>
  <c r="E132" i="3"/>
  <c r="E133" i="3"/>
  <c r="E130" i="3"/>
  <c r="E127" i="3"/>
  <c r="E128" i="3"/>
  <c r="E129" i="3"/>
  <c r="E124" i="3"/>
  <c r="E125" i="3"/>
  <c r="E123" i="3"/>
  <c r="E121" i="3"/>
  <c r="E122" i="3"/>
  <c r="E120" i="3"/>
  <c r="E116" i="3"/>
  <c r="E113" i="3"/>
  <c r="E114" i="3"/>
  <c r="E115" i="3"/>
  <c r="E106" i="3"/>
  <c r="E107" i="3"/>
  <c r="E108" i="3"/>
  <c r="E109" i="3"/>
  <c r="E110" i="3"/>
  <c r="E111" i="3"/>
  <c r="E112" i="3"/>
  <c r="E105" i="3"/>
  <c r="E94" i="3"/>
  <c r="E95" i="3"/>
  <c r="E96" i="3"/>
  <c r="E97" i="3"/>
  <c r="E98" i="3"/>
  <c r="E99" i="3"/>
  <c r="E100" i="3"/>
  <c r="E101" i="3"/>
  <c r="E102" i="3"/>
  <c r="E103" i="3"/>
  <c r="E104" i="3"/>
  <c r="E91" i="3"/>
  <c r="E92" i="3"/>
  <c r="E82" i="3"/>
  <c r="E83" i="3"/>
  <c r="E84" i="3"/>
  <c r="E85" i="3"/>
  <c r="E86" i="3"/>
  <c r="E87" i="3"/>
  <c r="E88" i="3"/>
  <c r="E89" i="3"/>
  <c r="E90" i="3"/>
  <c r="E81" i="3"/>
  <c r="E78" i="3"/>
  <c r="E79" i="3"/>
  <c r="E80" i="3"/>
  <c r="E70" i="3"/>
  <c r="E71" i="3"/>
  <c r="E72" i="3"/>
  <c r="E73" i="3"/>
  <c r="E74" i="3"/>
  <c r="E75" i="3"/>
  <c r="E76" i="3"/>
  <c r="E77" i="3"/>
  <c r="E68" i="3"/>
  <c r="E58" i="3"/>
  <c r="E59" i="3"/>
  <c r="E60" i="3"/>
  <c r="E61" i="3"/>
  <c r="E62" i="3"/>
  <c r="E63" i="3"/>
  <c r="E64" i="3"/>
  <c r="E65" i="3"/>
  <c r="E66" i="3"/>
  <c r="E67" i="3"/>
  <c r="E57" i="3"/>
  <c r="E46" i="3"/>
  <c r="E47" i="3"/>
  <c r="E48" i="3"/>
  <c r="E49" i="3"/>
  <c r="E50" i="3"/>
  <c r="E51" i="3"/>
  <c r="E52" i="3"/>
  <c r="E53" i="3"/>
  <c r="E54" i="3"/>
  <c r="E55" i="3"/>
  <c r="E56" i="3"/>
  <c r="E39" i="3"/>
  <c r="E40" i="3"/>
  <c r="E41" i="3"/>
  <c r="E42" i="3"/>
  <c r="E43" i="3"/>
  <c r="E44" i="3"/>
  <c r="E38" i="3"/>
  <c r="E32" i="3"/>
  <c r="E33" i="3"/>
  <c r="E34" i="3"/>
  <c r="E35" i="3"/>
  <c r="E36" i="3"/>
  <c r="E37" i="3"/>
  <c r="E30" i="3"/>
  <c r="E25" i="3"/>
  <c r="E26" i="3"/>
  <c r="E27" i="3"/>
  <c r="E28" i="3"/>
  <c r="E29" i="3"/>
  <c r="E24" i="3"/>
  <c r="E18" i="3"/>
  <c r="E19" i="3"/>
  <c r="E20" i="3"/>
  <c r="E21" i="3"/>
  <c r="E22" i="3"/>
  <c r="E23" i="3"/>
  <c r="E175" i="3"/>
  <c r="E178" i="3"/>
  <c r="E176" i="3"/>
  <c r="E177" i="3"/>
  <c r="E162" i="3"/>
  <c r="E161" i="3"/>
  <c r="E160" i="3"/>
  <c r="E154" i="3"/>
  <c r="E153" i="3"/>
  <c r="E152" i="3"/>
  <c r="E151" i="3"/>
  <c r="E150" i="3"/>
  <c r="E138" i="3"/>
  <c r="E126" i="3"/>
  <c r="E119" i="3"/>
  <c r="E118" i="3"/>
  <c r="E117" i="3"/>
  <c r="E93" i="3"/>
  <c r="E69" i="3"/>
  <c r="E45" i="3"/>
  <c r="E31" i="3"/>
  <c r="E17" i="3"/>
  <c r="E16" i="3"/>
  <c r="E15" i="3"/>
  <c r="E14" i="3"/>
  <c r="E13" i="3"/>
  <c r="E12" i="3"/>
  <c r="E11" i="3"/>
  <c r="E10" i="3"/>
  <c r="E9" i="3"/>
  <c r="E8" i="3"/>
  <c r="E6" i="3"/>
  <c r="E7" i="3"/>
  <c r="E5" i="3"/>
  <c r="D76" i="1"/>
  <c r="I75" i="1"/>
  <c r="H75" i="1"/>
  <c r="G75" i="1"/>
  <c r="F75" i="1"/>
  <c r="I74" i="1"/>
  <c r="H74" i="1"/>
  <c r="G74" i="1"/>
  <c r="F74" i="1"/>
  <c r="I73" i="1"/>
  <c r="H73" i="1"/>
  <c r="G73" i="1"/>
  <c r="F73" i="1"/>
  <c r="I72" i="1"/>
  <c r="H72" i="1"/>
  <c r="G72" i="1"/>
  <c r="F72" i="1"/>
  <c r="I71" i="1"/>
  <c r="H71" i="1"/>
  <c r="G71" i="1"/>
  <c r="F71" i="1"/>
  <c r="I70" i="1"/>
  <c r="H70" i="1"/>
  <c r="G70" i="1"/>
  <c r="F70" i="1"/>
  <c r="I69" i="1"/>
  <c r="H69" i="1"/>
  <c r="G69" i="1"/>
  <c r="F69" i="1"/>
  <c r="I68" i="1"/>
  <c r="H68" i="1"/>
  <c r="G68" i="1"/>
  <c r="F68" i="1"/>
  <c r="I67" i="1"/>
  <c r="H67" i="1"/>
  <c r="G67" i="1"/>
  <c r="F67" i="1"/>
  <c r="I66" i="1"/>
  <c r="H66" i="1"/>
  <c r="G66" i="1"/>
  <c r="F66" i="1"/>
  <c r="I65" i="1"/>
  <c r="H65" i="1"/>
  <c r="G65" i="1"/>
  <c r="F65" i="1"/>
  <c r="I64" i="1"/>
  <c r="H64" i="1"/>
  <c r="G64" i="1"/>
  <c r="F64" i="1"/>
  <c r="I63" i="1"/>
  <c r="H63" i="1"/>
  <c r="G63" i="1"/>
  <c r="F63" i="1"/>
  <c r="I62" i="1"/>
  <c r="H62" i="1"/>
  <c r="G62" i="1"/>
  <c r="F62" i="1"/>
  <c r="I61" i="1"/>
  <c r="H61" i="1"/>
  <c r="G61" i="1"/>
  <c r="F61" i="1"/>
  <c r="I60" i="1"/>
  <c r="H60" i="1"/>
  <c r="G60" i="1"/>
  <c r="F60" i="1"/>
  <c r="I59" i="1"/>
  <c r="H59" i="1"/>
  <c r="G59" i="1"/>
  <c r="F59" i="1"/>
  <c r="I58" i="1"/>
  <c r="H58" i="1"/>
  <c r="G58" i="1"/>
  <c r="F58" i="1"/>
  <c r="I57" i="1"/>
  <c r="H57" i="1"/>
  <c r="G57" i="1"/>
  <c r="F57" i="1"/>
  <c r="I56" i="1"/>
  <c r="H56" i="1"/>
  <c r="G56" i="1"/>
  <c r="F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I7" i="1"/>
  <c r="H7" i="1"/>
  <c r="G7" i="1"/>
  <c r="F7" i="1"/>
  <c r="I6" i="1"/>
  <c r="H6" i="1"/>
  <c r="G6" i="1"/>
  <c r="F6" i="1"/>
  <c r="G76" i="1" l="1"/>
  <c r="I76" i="1"/>
</calcChain>
</file>

<file path=xl/sharedStrings.xml><?xml version="1.0" encoding="utf-8"?>
<sst xmlns="http://schemas.openxmlformats.org/spreadsheetml/2006/main" count="902" uniqueCount="341">
  <si>
    <t>Кезекшілік журналы/тәуліктік ақпарат</t>
  </si>
  <si>
    <t xml:space="preserve">               </t>
  </si>
  <si>
    <t xml:space="preserve">               ТҚ-93 мәліметі</t>
  </si>
  <si>
    <t>"            "</t>
  </si>
  <si>
    <t>2026ж.</t>
  </si>
  <si>
    <t>№№</t>
  </si>
  <si>
    <t>№ ГУ</t>
  </si>
  <si>
    <t>№ ЗУ</t>
  </si>
  <si>
    <t>Отвод</t>
  </si>
  <si>
    <t>№ скв</t>
  </si>
  <si>
    <t>гор</t>
  </si>
  <si>
    <t>Режим</t>
  </si>
  <si>
    <t>Рбуф</t>
  </si>
  <si>
    <t>Рзат</t>
  </si>
  <si>
    <t>Ескерту</t>
  </si>
  <si>
    <t>Мәлімет</t>
  </si>
  <si>
    <t>Qж</t>
  </si>
  <si>
    <t>%</t>
  </si>
  <si>
    <t>Qн</t>
  </si>
  <si>
    <t>ГУ-93</t>
  </si>
  <si>
    <t xml:space="preserve">ГУ-93   ЗУ - 93а </t>
  </si>
  <si>
    <t>Барлығы-</t>
  </si>
  <si>
    <t>Бас құбыр-</t>
  </si>
  <si>
    <t>Жұмыста-</t>
  </si>
  <si>
    <t>Химреагент</t>
  </si>
  <si>
    <t>Пештер</t>
  </si>
  <si>
    <t>қосулы / өшірулі</t>
  </si>
  <si>
    <t>су деңгейі</t>
  </si>
  <si>
    <t>ГУ-93 ЗУ-93б</t>
  </si>
  <si>
    <t>Сораптар</t>
  </si>
  <si>
    <t>ГУ-93   ЗУ-93 в</t>
  </si>
  <si>
    <t>Мұнайшылар</t>
  </si>
  <si>
    <t>ГУ-93   ЗУ-93 г</t>
  </si>
  <si>
    <t>Сығымдау(опрессовка)</t>
  </si>
  <si>
    <t>ГУ-93   ЗУ-93 д</t>
  </si>
  <si>
    <t>Техника</t>
  </si>
  <si>
    <t>Беларусь</t>
  </si>
  <si>
    <t>Қолмен тазаланған скв №</t>
  </si>
  <si>
    <t>ГУ-93   ЗУ-93 Е</t>
  </si>
  <si>
    <t>Скважиналарды өңдеу-сауықтыру жұмыстары (ЫСЖ,ОПЗ,т.б)</t>
  </si>
  <si>
    <t>№р/с</t>
  </si>
  <si>
    <t>Скв №</t>
  </si>
  <si>
    <t>Өңдеу түрі</t>
  </si>
  <si>
    <t>Көлемі,м3</t>
  </si>
  <si>
    <t>Р басы</t>
  </si>
  <si>
    <t>Р соңы</t>
  </si>
  <si>
    <t>тығырық / сальник</t>
  </si>
  <si>
    <t>белдік/ремень</t>
  </si>
  <si>
    <r>
      <t xml:space="preserve">2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</si>
  <si>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4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</si>
  <si>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6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</si>
  <si>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8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</si>
  <si>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10 </t>
    </r>
    <r>
      <rPr>
        <vertAlign val="superscript"/>
        <sz val="14"/>
        <rFont val="Times New Roman"/>
        <family val="1"/>
        <charset val="204"/>
      </rPr>
      <t>00</t>
    </r>
  </si>
  <si>
    <r>
      <t>12</t>
    </r>
    <r>
      <rPr>
        <vertAlign val="superscript"/>
        <sz val="14"/>
        <rFont val="Times New Roman"/>
        <family val="1"/>
        <charset val="204"/>
      </rPr>
      <t xml:space="preserve"> 00</t>
    </r>
  </si>
  <si>
    <r>
      <t xml:space="preserve">14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</si>
  <si>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16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</si>
  <si>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18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</si>
  <si>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20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</si>
  <si>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22 </t>
    </r>
    <r>
      <rPr>
        <vertAlign val="superscript"/>
        <sz val="14"/>
        <rFont val="Times New Roman"/>
        <family val="1"/>
        <charset val="204"/>
      </rPr>
      <t>00</t>
    </r>
  </si>
  <si>
    <r>
      <t xml:space="preserve">24 </t>
    </r>
    <r>
      <rPr>
        <vertAlign val="superscript"/>
        <sz val="14"/>
        <rFont val="Times New Roman"/>
        <family val="1"/>
        <charset val="204"/>
      </rPr>
      <t>00</t>
    </r>
  </si>
  <si>
    <t>ТQ</t>
  </si>
  <si>
    <t>Замер</t>
  </si>
  <si>
    <t>Жасалған жұмыстар</t>
  </si>
  <si>
    <t>ЖАЖ</t>
  </si>
  <si>
    <t>№скв</t>
  </si>
  <si>
    <t>№бриг</t>
  </si>
  <si>
    <t>Ақпараты</t>
  </si>
  <si>
    <t>Тұрғаны-</t>
  </si>
  <si>
    <t>Қазан-</t>
  </si>
  <si>
    <t>ГӨЗ-</t>
  </si>
  <si>
    <t>скв</t>
  </si>
  <si>
    <t xml:space="preserve"> +/- </t>
  </si>
  <si>
    <t>объект</t>
  </si>
  <si>
    <t>деңгейі</t>
  </si>
  <si>
    <t>Аты Жөні</t>
  </si>
  <si>
    <t>статус</t>
  </si>
  <si>
    <t>Шебер:</t>
  </si>
  <si>
    <t>Бульдозермен тазаланған скв №</t>
  </si>
  <si>
    <t>ППУ мен жуылған объекттер</t>
  </si>
  <si>
    <t>Жоспар</t>
  </si>
  <si>
    <t>әр жол</t>
  </si>
  <si>
    <t>мәтін</t>
  </si>
  <si>
    <t>ЖАЖ / КЖАЖ</t>
  </si>
  <si>
    <t>36</t>
  </si>
  <si>
    <t>Бригада нөмірі</t>
  </si>
  <si>
    <t>35</t>
  </si>
  <si>
    <t>таңдау</t>
  </si>
  <si>
    <t>Жұмыс түрі: ЖАЖ / КЖАЖ</t>
  </si>
  <si>
    <t>34</t>
  </si>
  <si>
    <t>Скважина нөмірі</t>
  </si>
  <si>
    <t>33</t>
  </si>
  <si>
    <t>Біріктірілген ұяшық болса, толық диапазонды жазыңыз</t>
  </si>
  <si>
    <t>ұзын мәтін</t>
  </si>
  <si>
    <t>Барлық орындалған жұмыс</t>
  </si>
  <si>
    <t>32</t>
  </si>
  <si>
    <t>сағат бойынша</t>
  </si>
  <si>
    <t>сан</t>
  </si>
  <si>
    <t>Жоспар / План</t>
  </si>
  <si>
    <t>Сағаттық өлшем</t>
  </si>
  <si>
    <t>31</t>
  </si>
  <si>
    <t>Өлшем / Замер</t>
  </si>
  <si>
    <t>30</t>
  </si>
  <si>
    <t>TQ (Турбоквант)</t>
  </si>
  <si>
    <t>29</t>
  </si>
  <si>
    <t>тізім</t>
  </si>
  <si>
    <t>ППУ-мен жуылған скважина / ЗУ</t>
  </si>
  <si>
    <t>Тазаланған скважиналар</t>
  </si>
  <si>
    <t>28</t>
  </si>
  <si>
    <t>Бульдозермен тазаланған скважина</t>
  </si>
  <si>
    <t>27</t>
  </si>
  <si>
    <t>Қолмен тазаланған скважина</t>
  </si>
  <si>
    <t>26</t>
  </si>
  <si>
    <t>Саны / ақпараты</t>
  </si>
  <si>
    <t>25</t>
  </si>
  <si>
    <t>Техника атауы</t>
  </si>
  <si>
    <t>24</t>
  </si>
  <si>
    <t>Опрессовка: + / −</t>
  </si>
  <si>
    <t>Опрессовка</t>
  </si>
  <si>
    <t>23</t>
  </si>
  <si>
    <t>Скважина №</t>
  </si>
  <si>
    <t>22</t>
  </si>
  <si>
    <t>21</t>
  </si>
  <si>
    <t>Жұмыста, оқуда, отпуск, больничный, без содержания</t>
  </si>
  <si>
    <t>әр адам</t>
  </si>
  <si>
    <t>Статусы</t>
  </si>
  <si>
    <t>20</t>
  </si>
  <si>
    <t>Қызметкер аты-жөні</t>
  </si>
  <si>
    <t>19</t>
  </si>
  <si>
    <t>1 немесе 2</t>
  </si>
  <si>
    <t>Вахта</t>
  </si>
  <si>
    <t>18</t>
  </si>
  <si>
    <t>Су деңгейі: аз / орташа / толы</t>
  </si>
  <si>
    <t>17</t>
  </si>
  <si>
    <t>Жағдайы: жанып тұр / сөніп тұр</t>
  </si>
  <si>
    <t>16</t>
  </si>
  <si>
    <t>Пеш атауы</t>
  </si>
  <si>
    <t>15</t>
  </si>
  <si>
    <t>сан не мәтін</t>
  </si>
  <si>
    <t>Деңгейі</t>
  </si>
  <si>
    <t>14</t>
  </si>
  <si>
    <t>Объект атауы</t>
  </si>
  <si>
    <t>13</t>
  </si>
  <si>
    <t>Мысалы: ПРС</t>
  </si>
  <si>
    <t>әр скважина</t>
  </si>
  <si>
    <t>Скважина №____ — ескерту</t>
  </si>
  <si>
    <t>Буфер / затруб</t>
  </si>
  <si>
    <t>12</t>
  </si>
  <si>
    <t>Скважина №____ — затруб</t>
  </si>
  <si>
    <t>11</t>
  </si>
  <si>
    <t>Скважина №____ — буфер</t>
  </si>
  <si>
    <t>10</t>
  </si>
  <si>
    <t>ГӨЗ</t>
  </si>
  <si>
    <t>Жалпы мәлімет</t>
  </si>
  <si>
    <t>9</t>
  </si>
  <si>
    <t>Қазан</t>
  </si>
  <si>
    <t>8</t>
  </si>
  <si>
    <t>Бас құбыр</t>
  </si>
  <si>
    <t>7</t>
  </si>
  <si>
    <t>Тоқтап тұрған скважина саны</t>
  </si>
  <si>
    <t>6</t>
  </si>
  <si>
    <t>Жұмыстағы скважина саны</t>
  </si>
  <si>
    <t>5</t>
  </si>
  <si>
    <t>Барлық скважина саны</t>
  </si>
  <si>
    <t>4</t>
  </si>
  <si>
    <t>Шебердің аты-жөні</t>
  </si>
  <si>
    <t>Журнал тақырыбы</t>
  </si>
  <si>
    <t>3</t>
  </si>
  <si>
    <t>2</t>
  </si>
  <si>
    <t>Мысалы: B2</t>
  </si>
  <si>
    <t>күн</t>
  </si>
  <si>
    <t>Күні</t>
  </si>
  <si>
    <t>1</t>
  </si>
  <si>
    <t>Ескерту / үлгі</t>
  </si>
  <si>
    <t>Қайталану</t>
  </si>
  <si>
    <t>Мәлімет түрі</t>
  </si>
  <si>
    <t>Ұяшық / диапазон</t>
  </si>
  <si>
    <t>Excel листі</t>
  </si>
  <si>
    <t>Өріс атауы</t>
  </si>
  <si>
    <t>Қосымша бөлімі</t>
  </si>
  <si>
    <t>№</t>
  </si>
  <si>
    <t>Сары бағандарды толтырыңыз: Excel-дегі лист атауы, ұяшық/диапазон және қажет болса ескерту. Журналдың баспа үлгісін өзгертпеңіз.</t>
  </si>
  <si>
    <t>ТҚ-93 — Excel экспорт картасы</t>
  </si>
  <si>
    <t>1ші қатар</t>
  </si>
  <si>
    <t>2ші қатар</t>
  </si>
  <si>
    <t>Сорап атауы / нөмірі</t>
  </si>
  <si>
    <t>3ші қатар</t>
  </si>
  <si>
    <t>Тығырық / сальник</t>
  </si>
  <si>
    <t>Белдік / ремень</t>
  </si>
  <si>
    <t>Скважиналарды өңдеу-сауықтыру жұмыстары</t>
  </si>
  <si>
    <t>Көлемі, м³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</si>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</sst>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14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sz val="11"/>
      <name val="Carlito"/>
    </font>
    <font>
      <sz val="10"/>
      <color rgb="FF182433"/>
      <name val="Arial"/>
    </font>
    <font>
      <b/>
      <sz val="11"/>
      <color rgb="FFFFFFFF"/>
      <name val="Arial"/>
    </font>
    <font>
      <i/>
      <sz val="10"/>
      <color rgb="FF223344"/>
      <name val="Arial"/>
    </font>
    <font>
      <b/>
      <sz val="16"/>
      <color rgb="FFFFFFFF"/>
      <name val="Arial"/>
    </font>
    <font>
      <sz val="8"/>
      <name val="Arial"/>
    </font>
    <font>
      <sz val="10"/>
      <color rgb="FF182433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2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49"/>
      </patternFill>
    </fill>
    <fill>
      <patternFill patternType="solid">
        <fgColor indexed="9"/>
        <bgColor indexed="34"/>
      </patternFill>
    </fill>
    <fill>
      <patternFill patternType="solid">
        <fgColor indexed="9"/>
        <bgColor indexed="41"/>
      </patternFill>
    </fill>
    <fill>
      <patternFill patternType="solid">
        <fgColor theme="2"/>
        <bgColor indexed="64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0F6"/>
      </patternFill>
    </fill>
    <fill>
      <patternFill patternType="solid">
        <fgColor rgb="FF15395B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7C6D5"/>
      </left>
      <right style="thin">
        <color rgb="FFB7C6D5"/>
      </right>
      <top style="thin">
        <color rgb="FFB7C6D5"/>
      </top>
      <bottom style="thin">
        <color rgb="FFB7C6D5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13" fillId="0" borderId="0"/>
  </cellStyleXfs>
  <cellXfs count="195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3" fillId="4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1" fontId="7" fillId="0" borderId="2" xfId="1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horizont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4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2" fillId="4" borderId="19" xfId="1" applyFont="1" applyFill="1" applyBorder="1" applyAlignment="1">
      <alignment horizontal="left" vertical="center"/>
    </xf>
    <xf numFmtId="0" fontId="8" fillId="4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vertical="center" wrapText="1"/>
    </xf>
    <xf numFmtId="0" fontId="8" fillId="4" borderId="20" xfId="1" applyFont="1" applyFill="1" applyBorder="1" applyAlignment="1">
      <alignment vertical="center" wrapText="1"/>
    </xf>
    <xf numFmtId="0" fontId="2" fillId="0" borderId="19" xfId="1" applyFont="1" applyBorder="1" applyAlignment="1">
      <alignment horizontal="left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left" vertical="center"/>
    </xf>
    <xf numFmtId="0" fontId="2" fillId="0" borderId="20" xfId="1" applyFont="1" applyBorder="1" applyAlignment="1">
      <alignment vertical="center"/>
    </xf>
    <xf numFmtId="0" fontId="2" fillId="0" borderId="20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2" fillId="0" borderId="21" xfId="1" applyFont="1" applyBorder="1" applyAlignment="1">
      <alignment horizontal="left" vertical="center"/>
    </xf>
    <xf numFmtId="0" fontId="2" fillId="0" borderId="22" xfId="1" applyFont="1" applyBorder="1" applyAlignment="1">
      <alignment horizontal="left" vertical="center"/>
    </xf>
    <xf numFmtId="0" fontId="2" fillId="0" borderId="23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2" fillId="0" borderId="1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0" fontId="2" fillId="0" borderId="2" xfId="1" applyFont="1" applyBorder="1" applyAlignment="1">
      <alignment horizontal="center"/>
    </xf>
    <xf numFmtId="0" fontId="6" fillId="6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" fontId="6" fillId="7" borderId="2" xfId="1" applyNumberFormat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0" xfId="1" applyFont="1" applyFill="1" applyBorder="1" applyAlignment="1">
      <alignment horizontal="left" vertical="center"/>
    </xf>
    <xf numFmtId="0" fontId="5" fillId="0" borderId="24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5" fillId="8" borderId="2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left" vertical="center"/>
    </xf>
    <xf numFmtId="0" fontId="2" fillId="4" borderId="12" xfId="1" applyFont="1" applyFill="1" applyBorder="1" applyAlignment="1">
      <alignment horizontal="left" vertical="center"/>
    </xf>
    <xf numFmtId="0" fontId="2" fillId="2" borderId="21" xfId="1" applyFont="1" applyFill="1" applyBorder="1" applyAlignment="1">
      <alignment horizontal="left" vertical="center"/>
    </xf>
    <xf numFmtId="0" fontId="2" fillId="2" borderId="22" xfId="1" applyFont="1" applyFill="1" applyBorder="1" applyAlignment="1">
      <alignment horizontal="left" vertical="center"/>
    </xf>
    <xf numFmtId="0" fontId="2" fillId="2" borderId="23" xfId="1" applyFont="1" applyFill="1" applyBorder="1" applyAlignment="1">
      <alignment horizontal="left" vertical="center"/>
    </xf>
    <xf numFmtId="0" fontId="5" fillId="8" borderId="24" xfId="1" applyFont="1" applyFill="1" applyBorder="1" applyAlignment="1">
      <alignment horizontal="center" vertical="center" wrapText="1"/>
    </xf>
    <xf numFmtId="0" fontId="5" fillId="2" borderId="7" xfId="2" applyFont="1" applyFill="1" applyBorder="1" applyAlignment="1">
      <alignment horizontal="center" vertical="center" textRotation="90" wrapText="1"/>
    </xf>
    <xf numFmtId="0" fontId="2" fillId="2" borderId="1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0" fontId="11" fillId="2" borderId="2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/>
    </xf>
    <xf numFmtId="0" fontId="11" fillId="2" borderId="20" xfId="2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0" borderId="2" xfId="2" applyFont="1" applyBorder="1" applyAlignment="1">
      <alignment vertical="center" textRotation="90"/>
    </xf>
    <xf numFmtId="0" fontId="8" fillId="2" borderId="15" xfId="1" applyFont="1" applyFill="1" applyBorder="1" applyAlignment="1">
      <alignment vertical="center"/>
    </xf>
    <xf numFmtId="0" fontId="8" fillId="2" borderId="15" xfId="1" applyFont="1" applyFill="1" applyBorder="1" applyAlignment="1">
      <alignment horizontal="left" vertical="center"/>
    </xf>
    <xf numFmtId="0" fontId="9" fillId="0" borderId="32" xfId="0" applyFont="1" applyBorder="1" applyAlignment="1">
      <alignment horizontal="center" vertical="center"/>
    </xf>
    <xf numFmtId="0" fontId="11" fillId="0" borderId="3" xfId="2" applyFont="1" applyBorder="1" applyAlignment="1">
      <alignment vertical="center" textRotation="90"/>
    </xf>
    <xf numFmtId="0" fontId="11" fillId="2" borderId="3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left" vertical="center"/>
    </xf>
    <xf numFmtId="0" fontId="5" fillId="5" borderId="7" xfId="1" applyFont="1" applyFill="1" applyBorder="1" applyAlignment="1">
      <alignment horizontal="center" vertical="center" textRotation="90" wrapText="1"/>
    </xf>
    <xf numFmtId="0" fontId="6" fillId="2" borderId="2" xfId="2" applyFont="1" applyFill="1" applyBorder="1" applyAlignment="1">
      <alignment vertical="center" textRotation="90" wrapText="1"/>
    </xf>
    <xf numFmtId="0" fontId="6" fillId="5" borderId="2" xfId="2" applyFont="1" applyFill="1" applyBorder="1" applyAlignment="1">
      <alignment horizontal="center" vertical="center" textRotation="90" wrapText="1"/>
    </xf>
    <xf numFmtId="0" fontId="6" fillId="8" borderId="2" xfId="2" applyFont="1" applyFill="1" applyBorder="1" applyAlignment="1">
      <alignment horizontal="center" vertical="center" wrapText="1"/>
    </xf>
    <xf numFmtId="0" fontId="6" fillId="9" borderId="2" xfId="2" applyFont="1" applyFill="1" applyBorder="1" applyAlignment="1">
      <alignment horizontal="center" vertical="center" wrapText="1"/>
    </xf>
    <xf numFmtId="1" fontId="5" fillId="10" borderId="2" xfId="1" applyNumberFormat="1" applyFont="1" applyFill="1" applyBorder="1" applyAlignment="1">
      <alignment horizontal="center" vertical="center" wrapText="1"/>
    </xf>
    <xf numFmtId="1" fontId="3" fillId="0" borderId="2" xfId="3" applyNumberFormat="1" applyFont="1" applyBorder="1" applyAlignment="1">
      <alignment horizontal="center" vertical="center"/>
    </xf>
    <xf numFmtId="0" fontId="2" fillId="2" borderId="21" xfId="1" applyFont="1" applyFill="1" applyBorder="1" applyAlignment="1">
      <alignment vertical="center"/>
    </xf>
    <xf numFmtId="0" fontId="2" fillId="2" borderId="22" xfId="1" applyFont="1" applyFill="1" applyBorder="1" applyAlignment="1">
      <alignment vertical="center"/>
    </xf>
    <xf numFmtId="0" fontId="2" fillId="2" borderId="36" xfId="1" applyFont="1" applyFill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horizontal="center" vertical="center"/>
    </xf>
    <xf numFmtId="0" fontId="2" fillId="4" borderId="24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11" borderId="19" xfId="1" applyFont="1" applyFill="1" applyBorder="1" applyAlignment="1">
      <alignment horizontal="left" vertical="center"/>
    </xf>
    <xf numFmtId="0" fontId="2" fillId="11" borderId="20" xfId="1" applyFont="1" applyFill="1" applyBorder="1" applyAlignment="1">
      <alignment horizontal="left" vertical="center"/>
    </xf>
    <xf numFmtId="0" fontId="3" fillId="0" borderId="14" xfId="1" applyFont="1" applyBorder="1" applyAlignment="1">
      <alignment horizontal="right" vertical="center"/>
    </xf>
    <xf numFmtId="0" fontId="3" fillId="11" borderId="14" xfId="1" applyFont="1" applyFill="1" applyBorder="1" applyAlignment="1">
      <alignment vertical="center"/>
    </xf>
    <xf numFmtId="0" fontId="3" fillId="11" borderId="5" xfId="1" applyFont="1" applyFill="1" applyBorder="1" applyAlignment="1">
      <alignment vertical="center"/>
    </xf>
    <xf numFmtId="0" fontId="3" fillId="11" borderId="6" xfId="1" applyFont="1" applyFill="1" applyBorder="1" applyAlignment="1">
      <alignment vertical="center"/>
    </xf>
    <xf numFmtId="0" fontId="3" fillId="11" borderId="15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3" fillId="0" borderId="0" xfId="4"/>
    <xf numFmtId="0" fontId="14" fillId="0" borderId="42" xfId="5" applyFont="1" applyBorder="1" applyAlignment="1">
      <alignment vertical="center" wrapText="1"/>
    </xf>
    <xf numFmtId="0" fontId="14" fillId="12" borderId="42" xfId="5" applyFont="1" applyFill="1" applyBorder="1" applyAlignment="1">
      <alignment vertical="center" wrapText="1"/>
    </xf>
    <xf numFmtId="0" fontId="15" fillId="13" borderId="42" xfId="5" applyFont="1" applyFill="1" applyBorder="1" applyAlignment="1">
      <alignment horizontal="center" vertical="center" wrapText="1"/>
    </xf>
    <xf numFmtId="0" fontId="3" fillId="4" borderId="0" xfId="1" applyFont="1" applyFill="1" applyAlignment="1">
      <alignment vertical="center"/>
    </xf>
    <xf numFmtId="0" fontId="2" fillId="0" borderId="15" xfId="1" applyFont="1" applyBorder="1" applyAlignment="1">
      <alignment vertical="center"/>
    </xf>
    <xf numFmtId="0" fontId="2" fillId="2" borderId="27" xfId="1" applyFont="1" applyFill="1" applyBorder="1" applyAlignment="1">
      <alignment vertical="center"/>
    </xf>
    <xf numFmtId="0" fontId="2" fillId="2" borderId="28" xfId="1" applyFont="1" applyFill="1" applyBorder="1" applyAlignment="1">
      <alignment vertical="center"/>
    </xf>
    <xf numFmtId="0" fontId="2" fillId="2" borderId="29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6" xfId="1" applyFont="1" applyFill="1" applyBorder="1" applyAlignment="1">
      <alignment vertical="center"/>
    </xf>
    <xf numFmtId="0" fontId="2" fillId="2" borderId="5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16" borderId="8" xfId="1" applyFont="1" applyFill="1" applyBorder="1" applyAlignment="1">
      <alignment vertical="center"/>
    </xf>
    <xf numFmtId="0" fontId="2" fillId="16" borderId="9" xfId="1" applyFont="1" applyFill="1" applyBorder="1" applyAlignment="1">
      <alignment vertical="center"/>
    </xf>
    <xf numFmtId="0" fontId="2" fillId="16" borderId="10" xfId="1" applyFont="1" applyFill="1" applyBorder="1" applyAlignment="1">
      <alignment vertical="center"/>
    </xf>
    <xf numFmtId="0" fontId="2" fillId="16" borderId="37" xfId="1" applyFont="1" applyFill="1" applyBorder="1" applyAlignment="1">
      <alignment vertical="center"/>
    </xf>
    <xf numFmtId="0" fontId="2" fillId="16" borderId="0" xfId="1" applyFont="1" applyFill="1" applyBorder="1" applyAlignment="1">
      <alignment vertical="center"/>
    </xf>
    <xf numFmtId="0" fontId="2" fillId="16" borderId="38" xfId="1" applyFont="1" applyFill="1" applyBorder="1" applyAlignment="1">
      <alignment vertical="center"/>
    </xf>
    <xf numFmtId="0" fontId="2" fillId="16" borderId="39" xfId="1" applyFont="1" applyFill="1" applyBorder="1" applyAlignment="1">
      <alignment vertical="center"/>
    </xf>
    <xf numFmtId="0" fontId="2" fillId="16" borderId="1" xfId="1" applyFont="1" applyFill="1" applyBorder="1" applyAlignment="1">
      <alignment vertical="center"/>
    </xf>
    <xf numFmtId="0" fontId="2" fillId="16" borderId="40" xfId="1" applyFont="1" applyFill="1" applyBorder="1" applyAlignment="1">
      <alignment vertical="center"/>
    </xf>
    <xf numFmtId="0" fontId="2" fillId="17" borderId="2" xfId="1" applyFont="1" applyFill="1" applyBorder="1" applyAlignment="1">
      <alignment horizontal="center" vertical="center"/>
    </xf>
    <xf numFmtId="0" fontId="2" fillId="17" borderId="2" xfId="1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4" borderId="2" xfId="1" applyFont="1" applyFill="1" applyBorder="1" applyAlignment="1">
      <alignment horizontal="center" vertical="center" textRotation="90"/>
    </xf>
    <xf numFmtId="0" fontId="3" fillId="4" borderId="2" xfId="1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textRotation="90" wrapText="1"/>
    </xf>
    <xf numFmtId="0" fontId="5" fillId="2" borderId="7" xfId="2" applyFont="1" applyFill="1" applyBorder="1" applyAlignment="1">
      <alignment horizontal="center" vertical="center" textRotation="90" wrapText="1"/>
    </xf>
    <xf numFmtId="0" fontId="5" fillId="0" borderId="3" xfId="1" applyFont="1" applyBorder="1" applyAlignment="1">
      <alignment horizontal="center" vertical="center" textRotation="90" wrapText="1"/>
    </xf>
    <xf numFmtId="0" fontId="5" fillId="0" borderId="7" xfId="1" applyFont="1" applyBorder="1" applyAlignment="1">
      <alignment horizontal="center" vertical="center" textRotation="90" wrapText="1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3" fillId="4" borderId="18" xfId="1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 textRotation="90" wrapText="1"/>
    </xf>
    <xf numFmtId="0" fontId="5" fillId="5" borderId="3" xfId="1" applyFont="1" applyFill="1" applyBorder="1" applyAlignment="1">
      <alignment horizontal="center" vertical="center" textRotation="90" wrapText="1"/>
    </xf>
    <xf numFmtId="0" fontId="5" fillId="5" borderId="7" xfId="1" applyFont="1" applyFill="1" applyBorder="1" applyAlignment="1">
      <alignment horizontal="center" vertical="center" textRotation="90" wrapText="1"/>
    </xf>
    <xf numFmtId="0" fontId="5" fillId="5" borderId="24" xfId="1" applyFont="1" applyFill="1" applyBorder="1" applyAlignment="1">
      <alignment horizontal="center" vertical="center" textRotation="90" wrapText="1"/>
    </xf>
    <xf numFmtId="0" fontId="3" fillId="4" borderId="25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6" xfId="1" applyFont="1" applyFill="1" applyBorder="1" applyAlignment="1">
      <alignment horizontal="center" vertical="center"/>
    </xf>
    <xf numFmtId="0" fontId="2" fillId="4" borderId="16" xfId="1" applyFont="1" applyFill="1" applyBorder="1" applyAlignment="1">
      <alignment horizontal="center" vertical="center"/>
    </xf>
    <xf numFmtId="0" fontId="2" fillId="4" borderId="17" xfId="1" applyFont="1" applyFill="1" applyBorder="1" applyAlignment="1">
      <alignment horizontal="center" vertical="center"/>
    </xf>
    <xf numFmtId="0" fontId="2" fillId="4" borderId="18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2" fillId="4" borderId="2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9" fillId="4" borderId="16" xfId="1" applyFont="1" applyFill="1" applyBorder="1" applyAlignment="1">
      <alignment horizontal="center" vertical="center"/>
    </xf>
    <xf numFmtId="0" fontId="9" fillId="4" borderId="17" xfId="1" applyFont="1" applyFill="1" applyBorder="1" applyAlignment="1">
      <alignment horizontal="center" vertical="center"/>
    </xf>
    <xf numFmtId="0" fontId="9" fillId="4" borderId="18" xfId="1" applyFont="1" applyFill="1" applyBorder="1" applyAlignment="1">
      <alignment horizontal="center" vertical="center"/>
    </xf>
    <xf numFmtId="0" fontId="2" fillId="4" borderId="33" xfId="1" applyFont="1" applyFill="1" applyBorder="1" applyAlignment="1">
      <alignment horizontal="center" vertical="center"/>
    </xf>
    <xf numFmtId="0" fontId="2" fillId="4" borderId="34" xfId="1" applyFont="1" applyFill="1" applyBorder="1" applyAlignment="1">
      <alignment horizontal="center" vertical="center"/>
    </xf>
    <xf numFmtId="0" fontId="2" fillId="4" borderId="35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4" borderId="41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 wrapText="1"/>
    </xf>
    <xf numFmtId="0" fontId="5" fillId="8" borderId="24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17" fillId="15" borderId="0" xfId="5" applyFont="1" applyFill="1" applyAlignment="1">
      <alignment horizontal="center" vertical="center"/>
    </xf>
    <xf numFmtId="0" fontId="16" fillId="14" borderId="0" xfId="5" applyFont="1" applyFill="1" applyAlignment="1">
      <alignment vertical="center" wrapText="1"/>
    </xf>
    <xf numFmtId="20" fontId="14" fillId="0" borderId="42" xfId="5" applyNumberFormat="1" applyFont="1" applyBorder="1" applyAlignment="1">
      <alignment vertical="center" wrapText="1"/>
    </xf>
    <xf numFmtId="0" fontId="19" fillId="0" borderId="42" xfId="5" applyFont="1" applyBorder="1" applyAlignment="1">
      <alignment vertical="center" wrapText="1"/>
    </xf>
  </cellXfs>
  <cellStyles count="6">
    <cellStyle name="_ЦДНГ-6  нач кон бур на 1.01.06.г_зам за август 2012 г НП-2" xfId="1" xr:uid="{3A4E1BAA-5742-402D-8A34-15B2D74FA5BC}"/>
    <cellStyle name="Normal" xfId="5" xr:uid="{F0332EDD-E705-4B21-89CF-70FF68BF7F44}"/>
    <cellStyle name="Обычный" xfId="0" builtinId="0"/>
    <cellStyle name="Обычный 2" xfId="4" xr:uid="{06E0C634-6FA2-4165-A724-22D30871A2AC}"/>
    <cellStyle name="Обычный_вахт.журнал" xfId="3" xr:uid="{13DF64E7-504C-42F5-AC07-03EA85FEE457}"/>
    <cellStyle name="Обычный_Замерная добыча нефти 2003г" xfId="2" xr:uid="{7427F081-8C5E-427D-96BC-C91B170127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&#1054;&#1073;&#1093;&#1086;&#1076;%20&#1086;&#1087;&#1077;&#1088;&#1072;&#1090;&#1086;&#1088;&#1072;\93\&#1074;&#1072;&#1093;&#1090;&#1086;&#1074;&#1099;&#1081;%20&#1078;&#1091;&#1088;.___.xls" TargetMode="External"/><Relationship Id="rId1" Type="http://schemas.openxmlformats.org/officeDocument/2006/relationships/externalLinkPath" Target="&#1074;&#1072;&#1093;&#1090;&#1086;&#1074;&#1099;&#1081;%20&#1078;&#1091;&#1088;.__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9;&#1091;&#1090;%20&#1088;&#1072;&#1087;&#1086;&#1088;&#1090;%20&#1043;&#10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.10\&#1076;&#1083;&#1103;%20&#1076;&#1086;&#1089;&#1090;&#1091;&#1087;&#1072;\Users\NGDU1NP8GEOLOG4\Desktop\&#1076;&#1086;&#1089;&#1090;&#1091;&#1087;\&#1042;&#1072;&#1093;&#1090;&#1086;&#1074;&#1099;&#1081;%20&#1078;&#1091;&#1088;&#1085;&#1072;&#1083;%20%20&#1080;%20&#1057;&#1091;&#1090;&#1086;&#1095;&#1085;&#1099;&#1081;%20%20&#1088;&#1072;&#1087;&#1086;&#1088;&#1090;%20%20&#1087;&#1086;&#1089;&#1083;&#1077;&#1076;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.11\&#1076;&#1086;&#1089;&#1090;&#1091;&#1087;\&#1074;&#1072;&#1093;&#1090;&#1086;&#1074;&#1099;&#1081;%20&#1078;&#1091;&#1088;&#1085;&#1072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13"/>
      <sheetName val="12"/>
      <sheetName val="7 новый"/>
      <sheetName val="93"/>
      <sheetName val="55"/>
      <sheetName val="57 вахтовый жазира сурауы бша"/>
      <sheetName val="57 вахтовый алды"/>
      <sheetName val="Лист2"/>
      <sheetName val="7 арты"/>
      <sheetName val="7 алды"/>
    </sheetNames>
    <sheetDataSet>
      <sheetData sheetId="0">
        <row r="2">
          <cell r="A2" t="str">
            <v>СКВ</v>
          </cell>
          <cell r="B2" t="str">
            <v>Гор.</v>
          </cell>
          <cell r="C2" t="str">
            <v>Тех.режим на 
2 квартал 2026г.</v>
          </cell>
        </row>
        <row r="6">
          <cell r="C6" t="str">
            <v>Qж</v>
          </cell>
          <cell r="D6" t="str">
            <v>%</v>
          </cell>
          <cell r="E6" t="str">
            <v>Qн</v>
          </cell>
        </row>
        <row r="8">
          <cell r="A8">
            <v>1202</v>
          </cell>
          <cell r="D8" t="str">
            <v>кф</v>
          </cell>
        </row>
        <row r="9">
          <cell r="A9">
            <v>6447</v>
          </cell>
          <cell r="B9">
            <v>16</v>
          </cell>
          <cell r="C9">
            <v>40</v>
          </cell>
          <cell r="D9">
            <v>74</v>
          </cell>
          <cell r="E9">
            <v>8.7256</v>
          </cell>
        </row>
        <row r="10">
          <cell r="A10">
            <v>3254</v>
          </cell>
          <cell r="B10">
            <v>16</v>
          </cell>
          <cell r="C10">
            <v>70</v>
          </cell>
          <cell r="D10">
            <v>93</v>
          </cell>
          <cell r="E10">
            <v>4.1110999999999995</v>
          </cell>
        </row>
        <row r="11">
          <cell r="A11">
            <v>7626</v>
          </cell>
          <cell r="D11" t="str">
            <v>бд</v>
          </cell>
        </row>
        <row r="12">
          <cell r="A12">
            <v>7625</v>
          </cell>
          <cell r="D12" t="str">
            <v>кф</v>
          </cell>
        </row>
        <row r="13">
          <cell r="A13">
            <v>4599</v>
          </cell>
          <cell r="B13">
            <v>16</v>
          </cell>
          <cell r="C13">
            <v>20</v>
          </cell>
          <cell r="D13">
            <v>90</v>
          </cell>
          <cell r="E13">
            <v>1.6779999999999999</v>
          </cell>
        </row>
        <row r="14">
          <cell r="A14">
            <v>2131</v>
          </cell>
          <cell r="D14" t="str">
            <v>ОФЛС</v>
          </cell>
        </row>
        <row r="15">
          <cell r="A15">
            <v>3518</v>
          </cell>
          <cell r="B15">
            <v>14</v>
          </cell>
          <cell r="C15">
            <v>40</v>
          </cell>
          <cell r="D15">
            <v>92</v>
          </cell>
          <cell r="E15">
            <v>2.6848000000000001</v>
          </cell>
        </row>
        <row r="16">
          <cell r="A16">
            <v>2472</v>
          </cell>
          <cell r="D16" t="str">
            <v>ФЛС</v>
          </cell>
        </row>
        <row r="17">
          <cell r="A17">
            <v>7595</v>
          </cell>
          <cell r="D17" t="str">
            <v>ОФЛС</v>
          </cell>
        </row>
        <row r="18">
          <cell r="A18">
            <v>226</v>
          </cell>
          <cell r="B18" t="str">
            <v>13/14</v>
          </cell>
          <cell r="C18">
            <v>40</v>
          </cell>
          <cell r="D18">
            <v>94</v>
          </cell>
          <cell r="E18">
            <v>2.0135999999999998</v>
          </cell>
        </row>
        <row r="19">
          <cell r="A19">
            <v>3248</v>
          </cell>
          <cell r="B19">
            <v>15</v>
          </cell>
          <cell r="C19">
            <v>45</v>
          </cell>
          <cell r="D19">
            <v>90</v>
          </cell>
          <cell r="E19">
            <v>3.7755000000000001</v>
          </cell>
        </row>
        <row r="20">
          <cell r="A20" t="str">
            <v>ОЗНА-Импульс</v>
          </cell>
          <cell r="C20">
            <v>255</v>
          </cell>
          <cell r="E20">
            <v>22.988600000000002</v>
          </cell>
        </row>
        <row r="21">
          <cell r="A21">
            <v>4236</v>
          </cell>
          <cell r="B21">
            <v>17</v>
          </cell>
          <cell r="C21">
            <v>90</v>
          </cell>
          <cell r="D21">
            <v>95</v>
          </cell>
          <cell r="E21">
            <v>3.7755000000000001</v>
          </cell>
        </row>
        <row r="22">
          <cell r="A22">
            <v>9084</v>
          </cell>
          <cell r="B22">
            <v>15</v>
          </cell>
          <cell r="C22">
            <v>35</v>
          </cell>
          <cell r="D22">
            <v>90</v>
          </cell>
          <cell r="E22">
            <v>2.9364999999999997</v>
          </cell>
        </row>
        <row r="23">
          <cell r="A23">
            <v>6657</v>
          </cell>
          <cell r="B23">
            <v>17</v>
          </cell>
          <cell r="C23">
            <v>70</v>
          </cell>
          <cell r="D23">
            <v>95</v>
          </cell>
          <cell r="E23">
            <v>2.9364999999999997</v>
          </cell>
        </row>
        <row r="24">
          <cell r="A24">
            <v>7932</v>
          </cell>
          <cell r="B24">
            <v>13</v>
          </cell>
          <cell r="C24">
            <v>35</v>
          </cell>
          <cell r="D24">
            <v>80</v>
          </cell>
          <cell r="E24">
            <v>5.8729999999999993</v>
          </cell>
        </row>
        <row r="25">
          <cell r="A25">
            <v>4123</v>
          </cell>
          <cell r="D25" t="str">
            <v>КФ</v>
          </cell>
        </row>
        <row r="26">
          <cell r="A26">
            <v>4952</v>
          </cell>
          <cell r="B26">
            <v>13</v>
          </cell>
          <cell r="C26">
            <v>25</v>
          </cell>
          <cell r="D26">
            <v>85</v>
          </cell>
          <cell r="E26">
            <v>3.1462500000000002</v>
          </cell>
        </row>
        <row r="27">
          <cell r="A27">
            <v>9542</v>
          </cell>
          <cell r="B27">
            <v>16</v>
          </cell>
          <cell r="C27">
            <v>40</v>
          </cell>
          <cell r="D27">
            <v>75</v>
          </cell>
          <cell r="E27">
            <v>8.39</v>
          </cell>
        </row>
        <row r="28">
          <cell r="A28">
            <v>6455</v>
          </cell>
          <cell r="B28">
            <v>16</v>
          </cell>
          <cell r="C28">
            <v>55</v>
          </cell>
          <cell r="D28">
            <v>92</v>
          </cell>
          <cell r="E28">
            <v>3.6915999999999998</v>
          </cell>
        </row>
        <row r="29">
          <cell r="A29">
            <v>3613</v>
          </cell>
          <cell r="B29">
            <v>14</v>
          </cell>
          <cell r="C29">
            <v>35</v>
          </cell>
          <cell r="D29">
            <v>92</v>
          </cell>
          <cell r="E29">
            <v>2.3491999999999997</v>
          </cell>
        </row>
        <row r="30">
          <cell r="A30">
            <v>4205</v>
          </cell>
          <cell r="B30">
            <v>16</v>
          </cell>
          <cell r="C30">
            <v>25</v>
          </cell>
          <cell r="D30">
            <v>75</v>
          </cell>
          <cell r="E30">
            <v>5.2437500000000004</v>
          </cell>
        </row>
        <row r="31">
          <cell r="A31">
            <v>282</v>
          </cell>
          <cell r="B31">
            <v>16</v>
          </cell>
          <cell r="C31">
            <v>45</v>
          </cell>
          <cell r="D31">
            <v>93</v>
          </cell>
          <cell r="E31">
            <v>2.6428499999999997</v>
          </cell>
        </row>
        <row r="32">
          <cell r="A32">
            <v>6288</v>
          </cell>
          <cell r="B32">
            <v>16</v>
          </cell>
          <cell r="C32">
            <v>65</v>
          </cell>
          <cell r="D32">
            <v>94</v>
          </cell>
          <cell r="E32">
            <v>3.2721</v>
          </cell>
        </row>
        <row r="33">
          <cell r="A33" t="str">
            <v>ОЗНА-Импульс</v>
          </cell>
          <cell r="C33">
            <v>520</v>
          </cell>
          <cell r="E33">
            <v>44.257250000000006</v>
          </cell>
        </row>
        <row r="34">
          <cell r="A34">
            <v>3231</v>
          </cell>
          <cell r="B34">
            <v>14</v>
          </cell>
          <cell r="C34">
            <v>45</v>
          </cell>
          <cell r="D34">
            <v>97</v>
          </cell>
          <cell r="E34">
            <v>1.1326499999999999</v>
          </cell>
        </row>
        <row r="35">
          <cell r="A35">
            <v>9897</v>
          </cell>
          <cell r="B35">
            <v>18</v>
          </cell>
          <cell r="C35">
            <v>40</v>
          </cell>
          <cell r="D35">
            <v>94</v>
          </cell>
          <cell r="E35">
            <v>2.0135999999999998</v>
          </cell>
        </row>
        <row r="36">
          <cell r="A36">
            <v>3256</v>
          </cell>
          <cell r="B36">
            <v>14</v>
          </cell>
          <cell r="C36">
            <v>45</v>
          </cell>
          <cell r="D36">
            <v>95</v>
          </cell>
          <cell r="E36">
            <v>1.88775</v>
          </cell>
        </row>
        <row r="37">
          <cell r="A37">
            <v>9105</v>
          </cell>
          <cell r="B37">
            <v>17</v>
          </cell>
          <cell r="C37">
            <v>55</v>
          </cell>
          <cell r="D37">
            <v>90</v>
          </cell>
          <cell r="E37">
            <v>4.6144999999999996</v>
          </cell>
        </row>
        <row r="38">
          <cell r="A38">
            <v>8773</v>
          </cell>
          <cell r="B38">
            <v>16</v>
          </cell>
          <cell r="C38">
            <v>40</v>
          </cell>
          <cell r="D38">
            <v>85</v>
          </cell>
          <cell r="E38">
            <v>5.0339999999999998</v>
          </cell>
        </row>
        <row r="39">
          <cell r="A39">
            <v>294</v>
          </cell>
          <cell r="B39">
            <v>17</v>
          </cell>
          <cell r="C39">
            <v>50</v>
          </cell>
          <cell r="D39">
            <v>94</v>
          </cell>
          <cell r="E39">
            <v>2.5169999999999999</v>
          </cell>
        </row>
        <row r="40">
          <cell r="A40">
            <v>1451</v>
          </cell>
          <cell r="B40">
            <v>17</v>
          </cell>
          <cell r="C40">
            <v>40</v>
          </cell>
          <cell r="D40">
            <v>90</v>
          </cell>
          <cell r="E40">
            <v>3.3559999999999999</v>
          </cell>
        </row>
        <row r="41">
          <cell r="A41">
            <v>6087</v>
          </cell>
          <cell r="B41">
            <v>14</v>
          </cell>
          <cell r="C41">
            <v>35</v>
          </cell>
          <cell r="D41">
            <v>85</v>
          </cell>
          <cell r="E41">
            <v>4.4047499999999999</v>
          </cell>
        </row>
        <row r="42">
          <cell r="A42">
            <v>9940</v>
          </cell>
          <cell r="B42">
            <v>17</v>
          </cell>
          <cell r="C42">
            <v>30</v>
          </cell>
          <cell r="D42">
            <v>60</v>
          </cell>
          <cell r="E42">
            <v>10.068</v>
          </cell>
        </row>
        <row r="43">
          <cell r="A43">
            <v>9425</v>
          </cell>
          <cell r="B43">
            <v>17</v>
          </cell>
          <cell r="C43">
            <v>25</v>
          </cell>
          <cell r="D43">
            <v>75</v>
          </cell>
          <cell r="E43">
            <v>5.2437500000000004</v>
          </cell>
        </row>
        <row r="44">
          <cell r="A44">
            <v>9062</v>
          </cell>
          <cell r="B44">
            <v>17</v>
          </cell>
          <cell r="C44">
            <v>25</v>
          </cell>
          <cell r="D44">
            <v>75</v>
          </cell>
          <cell r="E44">
            <v>5.2437500000000004</v>
          </cell>
        </row>
        <row r="45">
          <cell r="A45">
            <v>4312</v>
          </cell>
          <cell r="B45">
            <v>14</v>
          </cell>
          <cell r="C45">
            <v>45</v>
          </cell>
          <cell r="D45">
            <v>93</v>
          </cell>
          <cell r="E45">
            <v>2.6428499999999997</v>
          </cell>
        </row>
        <row r="46">
          <cell r="A46">
            <v>3614</v>
          </cell>
          <cell r="B46">
            <v>13</v>
          </cell>
          <cell r="C46">
            <v>10</v>
          </cell>
          <cell r="D46">
            <v>90</v>
          </cell>
          <cell r="E46">
            <v>0.83899999999999997</v>
          </cell>
        </row>
        <row r="47">
          <cell r="A47">
            <v>4018</v>
          </cell>
          <cell r="B47">
            <v>16</v>
          </cell>
          <cell r="D47" t="str">
            <v>бд</v>
          </cell>
        </row>
        <row r="48">
          <cell r="A48" t="str">
            <v>ОЗНА-Импульс</v>
          </cell>
          <cell r="C48">
            <v>485</v>
          </cell>
          <cell r="E48">
            <v>48.997599999999991</v>
          </cell>
        </row>
        <row r="49">
          <cell r="A49">
            <v>6092</v>
          </cell>
          <cell r="B49">
            <v>17</v>
          </cell>
          <cell r="C49">
            <v>30</v>
          </cell>
          <cell r="D49">
            <v>85</v>
          </cell>
          <cell r="E49">
            <v>3.7755000000000001</v>
          </cell>
        </row>
        <row r="50">
          <cell r="A50">
            <v>4630</v>
          </cell>
          <cell r="B50">
            <v>17</v>
          </cell>
          <cell r="C50">
            <v>25</v>
          </cell>
          <cell r="D50">
            <v>80</v>
          </cell>
          <cell r="E50">
            <v>4.1950000000000003</v>
          </cell>
        </row>
        <row r="51">
          <cell r="A51">
            <v>4124</v>
          </cell>
          <cell r="B51">
            <v>13</v>
          </cell>
          <cell r="C51">
            <v>10</v>
          </cell>
          <cell r="D51">
            <v>50</v>
          </cell>
          <cell r="E51">
            <v>4.1950000000000003</v>
          </cell>
        </row>
        <row r="52">
          <cell r="A52">
            <v>9402</v>
          </cell>
          <cell r="B52">
            <v>13</v>
          </cell>
          <cell r="C52">
            <v>15</v>
          </cell>
          <cell r="D52">
            <v>70</v>
          </cell>
          <cell r="E52">
            <v>3.7755000000000001</v>
          </cell>
        </row>
        <row r="53">
          <cell r="A53">
            <v>6316</v>
          </cell>
          <cell r="B53">
            <v>13</v>
          </cell>
          <cell r="C53">
            <v>25</v>
          </cell>
          <cell r="D53">
            <v>60</v>
          </cell>
          <cell r="E53">
            <v>8.39</v>
          </cell>
        </row>
        <row r="54">
          <cell r="A54">
            <v>542</v>
          </cell>
          <cell r="B54">
            <v>15</v>
          </cell>
          <cell r="C54">
            <v>30</v>
          </cell>
          <cell r="D54">
            <v>90</v>
          </cell>
          <cell r="E54">
            <v>2.5169999999999999</v>
          </cell>
        </row>
        <row r="55">
          <cell r="A55">
            <v>7444</v>
          </cell>
          <cell r="B55">
            <v>17</v>
          </cell>
          <cell r="C55">
            <v>30</v>
          </cell>
          <cell r="D55">
            <v>90</v>
          </cell>
          <cell r="E55">
            <v>2.5169999999999999</v>
          </cell>
        </row>
        <row r="56">
          <cell r="A56">
            <v>5932</v>
          </cell>
          <cell r="B56">
            <v>15</v>
          </cell>
          <cell r="C56">
            <v>45</v>
          </cell>
          <cell r="D56">
            <v>90</v>
          </cell>
          <cell r="E56">
            <v>3.7755000000000001</v>
          </cell>
        </row>
        <row r="57">
          <cell r="A57">
            <v>9795</v>
          </cell>
          <cell r="B57">
            <v>17</v>
          </cell>
          <cell r="C57">
            <v>40</v>
          </cell>
          <cell r="D57">
            <v>85</v>
          </cell>
          <cell r="E57">
            <v>5.0339999999999998</v>
          </cell>
        </row>
        <row r="58">
          <cell r="A58">
            <v>1201</v>
          </cell>
          <cell r="B58">
            <v>13</v>
          </cell>
          <cell r="C58">
            <v>40</v>
          </cell>
          <cell r="D58">
            <v>95</v>
          </cell>
          <cell r="E58">
            <v>1.6779999999999999</v>
          </cell>
        </row>
        <row r="59">
          <cell r="A59">
            <v>4779</v>
          </cell>
          <cell r="B59">
            <v>13</v>
          </cell>
          <cell r="C59">
            <v>20</v>
          </cell>
          <cell r="D59">
            <v>85</v>
          </cell>
          <cell r="E59">
            <v>2.5169999999999999</v>
          </cell>
        </row>
        <row r="60">
          <cell r="A60" t="str">
            <v>АГЗУ-тор</v>
          </cell>
          <cell r="C60">
            <v>310</v>
          </cell>
          <cell r="E60">
            <v>42.369500000000002</v>
          </cell>
        </row>
        <row r="61">
          <cell r="A61">
            <v>9633</v>
          </cell>
          <cell r="B61">
            <v>17</v>
          </cell>
          <cell r="C61">
            <v>70</v>
          </cell>
          <cell r="D61">
            <v>90</v>
          </cell>
          <cell r="E61">
            <v>5.8729999999999993</v>
          </cell>
        </row>
        <row r="62">
          <cell r="A62">
            <v>5827</v>
          </cell>
          <cell r="B62">
            <v>14</v>
          </cell>
          <cell r="C62">
            <v>80</v>
          </cell>
          <cell r="D62">
            <v>94</v>
          </cell>
          <cell r="E62">
            <v>4.0271999999999997</v>
          </cell>
        </row>
        <row r="63">
          <cell r="A63">
            <v>8603</v>
          </cell>
          <cell r="B63">
            <v>17</v>
          </cell>
          <cell r="C63">
            <v>35</v>
          </cell>
          <cell r="D63">
            <v>85</v>
          </cell>
          <cell r="E63">
            <v>4.4047499999999999</v>
          </cell>
        </row>
        <row r="64">
          <cell r="A64">
            <v>3488</v>
          </cell>
          <cell r="B64">
            <v>13</v>
          </cell>
          <cell r="C64">
            <v>35</v>
          </cell>
          <cell r="D64">
            <v>65</v>
          </cell>
          <cell r="E64">
            <v>10.277749999999999</v>
          </cell>
        </row>
        <row r="65">
          <cell r="A65">
            <v>2753</v>
          </cell>
          <cell r="B65">
            <v>13</v>
          </cell>
          <cell r="C65">
            <v>40</v>
          </cell>
          <cell r="D65">
            <v>65</v>
          </cell>
          <cell r="E65">
            <v>11.745999999999999</v>
          </cell>
        </row>
        <row r="66">
          <cell r="A66">
            <v>563</v>
          </cell>
          <cell r="B66">
            <v>13</v>
          </cell>
          <cell r="C66">
            <v>55</v>
          </cell>
          <cell r="D66">
            <v>85</v>
          </cell>
          <cell r="E66">
            <v>6.9217499999999994</v>
          </cell>
        </row>
        <row r="67">
          <cell r="A67">
            <v>4296</v>
          </cell>
          <cell r="B67">
            <v>18</v>
          </cell>
          <cell r="C67">
            <v>20</v>
          </cell>
          <cell r="D67">
            <v>90</v>
          </cell>
          <cell r="E67">
            <v>1.6779999999999999</v>
          </cell>
        </row>
        <row r="68">
          <cell r="A68">
            <v>8932</v>
          </cell>
          <cell r="B68">
            <v>17</v>
          </cell>
          <cell r="C68">
            <v>65</v>
          </cell>
          <cell r="D68">
            <v>94</v>
          </cell>
          <cell r="E68">
            <v>3.2721</v>
          </cell>
        </row>
        <row r="69">
          <cell r="A69">
            <v>6469</v>
          </cell>
          <cell r="B69">
            <v>18</v>
          </cell>
          <cell r="C69">
            <v>25</v>
          </cell>
          <cell r="D69">
            <v>85</v>
          </cell>
          <cell r="E69">
            <v>3.1462500000000002</v>
          </cell>
        </row>
        <row r="70">
          <cell r="A70">
            <v>6994</v>
          </cell>
          <cell r="B70">
            <v>14</v>
          </cell>
          <cell r="C70">
            <v>25</v>
          </cell>
          <cell r="D70">
            <v>75</v>
          </cell>
          <cell r="E70">
            <v>5.2437500000000004</v>
          </cell>
        </row>
        <row r="71">
          <cell r="A71">
            <v>4948</v>
          </cell>
          <cell r="B71">
            <v>13</v>
          </cell>
          <cell r="C71">
            <v>30</v>
          </cell>
          <cell r="D71">
            <v>85</v>
          </cell>
          <cell r="E71">
            <v>3.7755000000000001</v>
          </cell>
        </row>
        <row r="72">
          <cell r="A72">
            <v>9522</v>
          </cell>
          <cell r="B72">
            <v>13</v>
          </cell>
          <cell r="C72">
            <v>80</v>
          </cell>
          <cell r="D72">
            <v>93</v>
          </cell>
          <cell r="E72">
            <v>4.6983999999999995</v>
          </cell>
        </row>
        <row r="73">
          <cell r="A73">
            <v>7438</v>
          </cell>
          <cell r="B73">
            <v>17</v>
          </cell>
          <cell r="C73">
            <v>70</v>
          </cell>
          <cell r="D73">
            <v>94</v>
          </cell>
          <cell r="E73">
            <v>3.5238</v>
          </cell>
        </row>
        <row r="74">
          <cell r="A74">
            <v>7472</v>
          </cell>
          <cell r="B74">
            <v>17</v>
          </cell>
          <cell r="C74">
            <v>55</v>
          </cell>
          <cell r="D74">
            <v>95</v>
          </cell>
          <cell r="E74">
            <v>2.3072499999999998</v>
          </cell>
        </row>
        <row r="75">
          <cell r="A75" t="str">
            <v>АГЗУ поток</v>
          </cell>
          <cell r="C75">
            <v>685</v>
          </cell>
          <cell r="E75">
            <v>70.895499999999984</v>
          </cell>
        </row>
        <row r="76">
          <cell r="C76">
            <v>2255</v>
          </cell>
          <cell r="E76">
            <v>229.50844999999995</v>
          </cell>
        </row>
        <row r="77">
          <cell r="A77">
            <v>8941</v>
          </cell>
          <cell r="B77">
            <v>15</v>
          </cell>
          <cell r="C77">
            <v>35</v>
          </cell>
          <cell r="D77">
            <v>94</v>
          </cell>
          <cell r="E77">
            <v>1.7619</v>
          </cell>
        </row>
        <row r="78">
          <cell r="A78">
            <v>2126</v>
          </cell>
          <cell r="B78">
            <v>13</v>
          </cell>
          <cell r="C78">
            <v>25</v>
          </cell>
          <cell r="D78">
            <v>90</v>
          </cell>
          <cell r="E78">
            <v>2.0975000000000001</v>
          </cell>
        </row>
        <row r="79">
          <cell r="A79">
            <v>592</v>
          </cell>
          <cell r="B79">
            <v>15</v>
          </cell>
          <cell r="C79">
            <v>70</v>
          </cell>
          <cell r="D79">
            <v>95</v>
          </cell>
          <cell r="E79">
            <v>2.9364999999999997</v>
          </cell>
        </row>
        <row r="80">
          <cell r="A80">
            <v>9888</v>
          </cell>
          <cell r="B80">
            <v>17</v>
          </cell>
          <cell r="C80">
            <v>25</v>
          </cell>
          <cell r="D80">
            <v>50</v>
          </cell>
          <cell r="E80">
            <v>10.487500000000001</v>
          </cell>
        </row>
        <row r="81">
          <cell r="A81">
            <v>544</v>
          </cell>
          <cell r="B81">
            <v>14</v>
          </cell>
          <cell r="C81">
            <v>40</v>
          </cell>
          <cell r="D81">
            <v>90</v>
          </cell>
          <cell r="E81">
            <v>3.3559999999999999</v>
          </cell>
        </row>
        <row r="82">
          <cell r="A82">
            <v>6617</v>
          </cell>
          <cell r="B82">
            <v>17</v>
          </cell>
          <cell r="C82">
            <v>15</v>
          </cell>
          <cell r="D82">
            <v>50</v>
          </cell>
          <cell r="E82">
            <v>6.2925000000000004</v>
          </cell>
        </row>
        <row r="83">
          <cell r="A83">
            <v>9942</v>
          </cell>
          <cell r="B83">
            <v>16</v>
          </cell>
          <cell r="C83">
            <v>35</v>
          </cell>
          <cell r="D83">
            <v>90</v>
          </cell>
          <cell r="E83">
            <v>2.9364999999999997</v>
          </cell>
        </row>
        <row r="84">
          <cell r="A84">
            <v>8034</v>
          </cell>
          <cell r="B84">
            <v>16</v>
          </cell>
          <cell r="C84">
            <v>45</v>
          </cell>
          <cell r="D84">
            <v>90</v>
          </cell>
          <cell r="E84">
            <v>3.7755000000000001</v>
          </cell>
        </row>
        <row r="85">
          <cell r="A85" t="str">
            <v>АГЗУ 10-ти отводный-тор</v>
          </cell>
          <cell r="C85">
            <v>290</v>
          </cell>
          <cell r="E85">
            <v>33.643900000000002</v>
          </cell>
        </row>
        <row r="86">
          <cell r="A86">
            <v>8753</v>
          </cell>
          <cell r="B86">
            <v>14</v>
          </cell>
          <cell r="C86">
            <v>40</v>
          </cell>
          <cell r="D86">
            <v>95</v>
          </cell>
          <cell r="E86">
            <v>1.6779999999999999</v>
          </cell>
        </row>
        <row r="87">
          <cell r="A87">
            <v>6038</v>
          </cell>
          <cell r="B87">
            <v>13</v>
          </cell>
          <cell r="C87">
            <v>70</v>
          </cell>
          <cell r="D87">
            <v>95</v>
          </cell>
          <cell r="E87">
            <v>2.9364999999999997</v>
          </cell>
        </row>
        <row r="88">
          <cell r="A88">
            <v>9921</v>
          </cell>
          <cell r="B88">
            <v>17</v>
          </cell>
          <cell r="C88">
            <v>30</v>
          </cell>
          <cell r="D88">
            <v>60</v>
          </cell>
          <cell r="E88">
            <v>10.068</v>
          </cell>
        </row>
        <row r="89">
          <cell r="A89">
            <v>4778</v>
          </cell>
          <cell r="B89">
            <v>17</v>
          </cell>
          <cell r="C89">
            <v>30</v>
          </cell>
          <cell r="D89">
            <v>65</v>
          </cell>
          <cell r="E89">
            <v>8.8094999999999999</v>
          </cell>
        </row>
        <row r="90">
          <cell r="A90">
            <v>3242</v>
          </cell>
          <cell r="B90">
            <v>14</v>
          </cell>
          <cell r="C90">
            <v>5</v>
          </cell>
          <cell r="D90">
            <v>50</v>
          </cell>
          <cell r="E90">
            <v>2.0975000000000001</v>
          </cell>
        </row>
        <row r="91">
          <cell r="A91">
            <v>3646</v>
          </cell>
          <cell r="B91">
            <v>14</v>
          </cell>
          <cell r="C91">
            <v>30</v>
          </cell>
          <cell r="D91">
            <v>90</v>
          </cell>
          <cell r="E91">
            <v>2.5169999999999999</v>
          </cell>
        </row>
        <row r="92">
          <cell r="A92">
            <v>3451</v>
          </cell>
          <cell r="B92">
            <v>15</v>
          </cell>
          <cell r="C92">
            <v>55</v>
          </cell>
          <cell r="D92">
            <v>92</v>
          </cell>
          <cell r="E92">
            <v>3.6915999999999998</v>
          </cell>
        </row>
        <row r="93">
          <cell r="A93">
            <v>6265</v>
          </cell>
          <cell r="B93">
            <v>13</v>
          </cell>
          <cell r="C93">
            <v>70</v>
          </cell>
          <cell r="D93">
            <v>96</v>
          </cell>
          <cell r="E93">
            <v>2.3491999999999997</v>
          </cell>
        </row>
        <row r="94">
          <cell r="A94">
            <v>7429</v>
          </cell>
          <cell r="B94">
            <v>16</v>
          </cell>
          <cell r="C94">
            <v>40</v>
          </cell>
          <cell r="D94">
            <v>94</v>
          </cell>
          <cell r="E94">
            <v>2.0135999999999998</v>
          </cell>
        </row>
        <row r="95">
          <cell r="A95">
            <v>7319</v>
          </cell>
          <cell r="B95">
            <v>13</v>
          </cell>
          <cell r="C95">
            <v>45</v>
          </cell>
          <cell r="D95">
            <v>98</v>
          </cell>
          <cell r="E95">
            <v>0.75509999999999988</v>
          </cell>
        </row>
        <row r="96">
          <cell r="A96">
            <v>2468</v>
          </cell>
          <cell r="B96">
            <v>14</v>
          </cell>
          <cell r="C96">
            <v>50</v>
          </cell>
          <cell r="D96">
            <v>90</v>
          </cell>
          <cell r="E96">
            <v>4.1950000000000003</v>
          </cell>
        </row>
        <row r="97">
          <cell r="A97">
            <v>9891</v>
          </cell>
          <cell r="B97">
            <v>18</v>
          </cell>
          <cell r="C97">
            <v>55</v>
          </cell>
          <cell r="D97">
            <v>95</v>
          </cell>
          <cell r="E97">
            <v>2.3072499999999998</v>
          </cell>
        </row>
        <row r="98">
          <cell r="A98">
            <v>6090</v>
          </cell>
          <cell r="B98">
            <v>16</v>
          </cell>
          <cell r="C98">
            <v>60</v>
          </cell>
          <cell r="D98">
            <v>96</v>
          </cell>
          <cell r="E98">
            <v>2.0135999999999998</v>
          </cell>
        </row>
        <row r="99">
          <cell r="A99" t="str">
            <v>ОЗНА-Импульс</v>
          </cell>
          <cell r="C99">
            <v>580</v>
          </cell>
          <cell r="E99">
            <v>45.431849999999997</v>
          </cell>
        </row>
        <row r="100">
          <cell r="A100">
            <v>9892</v>
          </cell>
          <cell r="B100">
            <v>17</v>
          </cell>
          <cell r="C100">
            <v>45</v>
          </cell>
          <cell r="D100">
            <v>80</v>
          </cell>
          <cell r="E100">
            <v>7.5510000000000002</v>
          </cell>
        </row>
        <row r="101">
          <cell r="A101">
            <v>9444</v>
          </cell>
          <cell r="B101">
            <v>17</v>
          </cell>
          <cell r="C101">
            <v>25</v>
          </cell>
          <cell r="D101">
            <v>90</v>
          </cell>
          <cell r="E101">
            <v>2.0975000000000001</v>
          </cell>
        </row>
        <row r="102">
          <cell r="A102">
            <v>7569</v>
          </cell>
          <cell r="B102">
            <v>18</v>
          </cell>
          <cell r="C102">
            <v>10</v>
          </cell>
          <cell r="D102">
            <v>60</v>
          </cell>
          <cell r="E102">
            <v>3.3559999999999999</v>
          </cell>
        </row>
        <row r="103">
          <cell r="A103">
            <v>6035</v>
          </cell>
          <cell r="B103">
            <v>14</v>
          </cell>
          <cell r="C103">
            <v>20</v>
          </cell>
          <cell r="D103">
            <v>50</v>
          </cell>
          <cell r="E103">
            <v>8.39</v>
          </cell>
        </row>
        <row r="104">
          <cell r="A104">
            <v>4119</v>
          </cell>
          <cell r="B104">
            <v>16</v>
          </cell>
          <cell r="C104">
            <v>10</v>
          </cell>
          <cell r="D104">
            <v>90</v>
          </cell>
          <cell r="E104">
            <v>0.83899999999999997</v>
          </cell>
        </row>
        <row r="105">
          <cell r="A105">
            <v>7576</v>
          </cell>
          <cell r="D105" t="str">
            <v>ФЛС</v>
          </cell>
        </row>
        <row r="106">
          <cell r="A106">
            <v>3257</v>
          </cell>
          <cell r="B106">
            <v>14</v>
          </cell>
          <cell r="C106">
            <v>45</v>
          </cell>
          <cell r="D106">
            <v>90</v>
          </cell>
          <cell r="E106">
            <v>3.7755000000000001</v>
          </cell>
        </row>
        <row r="107">
          <cell r="A107">
            <v>3239</v>
          </cell>
          <cell r="B107">
            <v>14</v>
          </cell>
          <cell r="C107">
            <v>25</v>
          </cell>
          <cell r="D107">
            <v>80</v>
          </cell>
          <cell r="E107">
            <v>4.1950000000000003</v>
          </cell>
        </row>
        <row r="108">
          <cell r="A108">
            <v>6129</v>
          </cell>
          <cell r="B108">
            <v>16</v>
          </cell>
          <cell r="C108">
            <v>25</v>
          </cell>
          <cell r="D108">
            <v>92</v>
          </cell>
          <cell r="E108">
            <v>1.6779999999999999</v>
          </cell>
        </row>
        <row r="109">
          <cell r="A109">
            <v>296</v>
          </cell>
          <cell r="B109">
            <v>14</v>
          </cell>
          <cell r="C109">
            <v>40</v>
          </cell>
          <cell r="D109">
            <v>92</v>
          </cell>
          <cell r="E109">
            <v>2.6848000000000001</v>
          </cell>
        </row>
        <row r="110">
          <cell r="A110">
            <v>9898</v>
          </cell>
          <cell r="B110" t="str">
            <v>17/18</v>
          </cell>
          <cell r="C110">
            <v>20</v>
          </cell>
          <cell r="D110">
            <v>55</v>
          </cell>
          <cell r="E110">
            <v>7.5510000000000002</v>
          </cell>
        </row>
        <row r="111">
          <cell r="A111" t="str">
            <v>АГЗУ-тор</v>
          </cell>
          <cell r="C111">
            <v>265</v>
          </cell>
          <cell r="E111">
            <v>42.117800000000003</v>
          </cell>
        </row>
        <row r="112">
          <cell r="C112">
            <v>1135</v>
          </cell>
          <cell r="E112">
            <v>121.19355</v>
          </cell>
        </row>
        <row r="113">
          <cell r="A113">
            <v>7051</v>
          </cell>
          <cell r="D113" t="str">
            <v>ФЛС</v>
          </cell>
        </row>
        <row r="114">
          <cell r="A114">
            <v>7478</v>
          </cell>
          <cell r="B114">
            <v>16</v>
          </cell>
          <cell r="C114">
            <v>75</v>
          </cell>
          <cell r="D114">
            <v>85</v>
          </cell>
          <cell r="E114">
            <v>9.4387500000000006</v>
          </cell>
        </row>
        <row r="115">
          <cell r="A115">
            <v>5929</v>
          </cell>
          <cell r="D115" t="str">
            <v>ФЛС</v>
          </cell>
        </row>
        <row r="116">
          <cell r="A116">
            <v>6602</v>
          </cell>
          <cell r="D116" t="str">
            <v>КФ</v>
          </cell>
        </row>
        <row r="117">
          <cell r="A117">
            <v>668</v>
          </cell>
          <cell r="B117">
            <v>17</v>
          </cell>
          <cell r="C117">
            <v>70</v>
          </cell>
          <cell r="D117">
            <v>94</v>
          </cell>
          <cell r="E117">
            <v>3.5238</v>
          </cell>
        </row>
        <row r="118">
          <cell r="A118">
            <v>8989</v>
          </cell>
          <cell r="B118">
            <v>14</v>
          </cell>
          <cell r="C118">
            <v>100</v>
          </cell>
          <cell r="D118">
            <v>96</v>
          </cell>
          <cell r="E118">
            <v>3.3559999999999999</v>
          </cell>
        </row>
        <row r="119">
          <cell r="A119">
            <v>4111</v>
          </cell>
          <cell r="B119">
            <v>13</v>
          </cell>
          <cell r="C119">
            <v>25</v>
          </cell>
          <cell r="D119">
            <v>75</v>
          </cell>
          <cell r="E119">
            <v>5.2437500000000004</v>
          </cell>
        </row>
        <row r="120">
          <cell r="A120">
            <v>4834</v>
          </cell>
          <cell r="B120">
            <v>15</v>
          </cell>
          <cell r="C120">
            <v>20</v>
          </cell>
          <cell r="D120">
            <v>80</v>
          </cell>
          <cell r="E120">
            <v>3.3559999999999999</v>
          </cell>
        </row>
        <row r="121">
          <cell r="A121">
            <v>4112</v>
          </cell>
          <cell r="B121" t="str">
            <v>13/14</v>
          </cell>
          <cell r="C121">
            <v>45</v>
          </cell>
          <cell r="D121">
            <v>95</v>
          </cell>
          <cell r="E121">
            <v>1.88775</v>
          </cell>
        </row>
        <row r="122">
          <cell r="A122">
            <v>7503</v>
          </cell>
          <cell r="B122">
            <v>17</v>
          </cell>
          <cell r="C122">
            <v>35</v>
          </cell>
          <cell r="D122">
            <v>85</v>
          </cell>
          <cell r="E122">
            <v>4.4047499999999999</v>
          </cell>
        </row>
        <row r="123">
          <cell r="A123" t="str">
            <v>ОЗНА-Импульс</v>
          </cell>
          <cell r="C123">
            <v>370</v>
          </cell>
          <cell r="E123">
            <v>31.210800000000003</v>
          </cell>
        </row>
        <row r="124">
          <cell r="A124">
            <v>6085</v>
          </cell>
          <cell r="B124">
            <v>16</v>
          </cell>
          <cell r="C124">
            <v>35</v>
          </cell>
          <cell r="D124">
            <v>90</v>
          </cell>
          <cell r="E124">
            <v>2.9364999999999997</v>
          </cell>
        </row>
        <row r="125">
          <cell r="A125">
            <v>3448</v>
          </cell>
          <cell r="B125">
            <v>15</v>
          </cell>
          <cell r="C125">
            <v>50</v>
          </cell>
          <cell r="D125">
            <v>95</v>
          </cell>
          <cell r="E125">
            <v>2.0975000000000001</v>
          </cell>
        </row>
        <row r="126">
          <cell r="A126">
            <v>8031</v>
          </cell>
          <cell r="B126">
            <v>16</v>
          </cell>
          <cell r="C126">
            <v>35</v>
          </cell>
          <cell r="D126">
            <v>85</v>
          </cell>
          <cell r="E126">
            <v>4.4047499999999999</v>
          </cell>
        </row>
        <row r="127">
          <cell r="A127">
            <v>2469</v>
          </cell>
          <cell r="D127" t="str">
            <v>ФЛС</v>
          </cell>
        </row>
        <row r="128">
          <cell r="A128">
            <v>7091</v>
          </cell>
          <cell r="B128">
            <v>16</v>
          </cell>
          <cell r="C128">
            <v>65</v>
          </cell>
          <cell r="D128">
            <v>95</v>
          </cell>
          <cell r="E128">
            <v>2.72675</v>
          </cell>
        </row>
        <row r="129">
          <cell r="A129">
            <v>5933</v>
          </cell>
          <cell r="B129">
            <v>16</v>
          </cell>
          <cell r="C129">
            <v>50</v>
          </cell>
          <cell r="D129">
            <v>95</v>
          </cell>
          <cell r="E129">
            <v>2.0975000000000001</v>
          </cell>
        </row>
        <row r="130">
          <cell r="A130">
            <v>6364</v>
          </cell>
          <cell r="B130">
            <v>18</v>
          </cell>
          <cell r="C130">
            <v>50</v>
          </cell>
          <cell r="D130">
            <v>93</v>
          </cell>
          <cell r="E130">
            <v>2.9364999999999997</v>
          </cell>
        </row>
        <row r="131">
          <cell r="A131">
            <v>4344</v>
          </cell>
          <cell r="B131">
            <v>16</v>
          </cell>
          <cell r="C131">
            <v>40</v>
          </cell>
          <cell r="D131">
            <v>75</v>
          </cell>
          <cell r="E131">
            <v>8.39</v>
          </cell>
        </row>
        <row r="132">
          <cell r="A132">
            <v>9889</v>
          </cell>
          <cell r="B132">
            <v>18</v>
          </cell>
          <cell r="C132">
            <v>30</v>
          </cell>
          <cell r="D132">
            <v>65</v>
          </cell>
          <cell r="E132">
            <v>8.8094999999999999</v>
          </cell>
        </row>
        <row r="133">
          <cell r="A133">
            <v>3212</v>
          </cell>
          <cell r="B133">
            <v>13</v>
          </cell>
          <cell r="C133">
            <v>50</v>
          </cell>
          <cell r="D133">
            <v>94</v>
          </cell>
          <cell r="E133">
            <v>2.5169999999999999</v>
          </cell>
        </row>
        <row r="134">
          <cell r="A134">
            <v>4827</v>
          </cell>
          <cell r="B134">
            <v>15</v>
          </cell>
          <cell r="C134">
            <v>25</v>
          </cell>
          <cell r="D134">
            <v>85</v>
          </cell>
          <cell r="E134">
            <v>3.1462500000000002</v>
          </cell>
        </row>
        <row r="135">
          <cell r="A135">
            <v>4109</v>
          </cell>
          <cell r="B135">
            <v>15</v>
          </cell>
          <cell r="C135">
            <v>20</v>
          </cell>
          <cell r="D135">
            <v>55</v>
          </cell>
          <cell r="E135">
            <v>7.5510000000000002</v>
          </cell>
        </row>
        <row r="136">
          <cell r="A136">
            <v>3211</v>
          </cell>
          <cell r="B136">
            <v>14</v>
          </cell>
          <cell r="C136">
            <v>85</v>
          </cell>
          <cell r="D136">
            <v>95</v>
          </cell>
          <cell r="E136">
            <v>3.56575</v>
          </cell>
        </row>
        <row r="137">
          <cell r="A137">
            <v>2760</v>
          </cell>
          <cell r="B137">
            <v>14</v>
          </cell>
          <cell r="C137">
            <v>65</v>
          </cell>
          <cell r="D137">
            <v>92</v>
          </cell>
          <cell r="E137">
            <v>4.3628</v>
          </cell>
        </row>
        <row r="138">
          <cell r="A138" t="str">
            <v>ОЗНА-Импульс</v>
          </cell>
          <cell r="C138">
            <v>600</v>
          </cell>
          <cell r="E138">
            <v>55.541800000000009</v>
          </cell>
        </row>
        <row r="139">
          <cell r="A139">
            <v>7859</v>
          </cell>
          <cell r="B139">
            <v>17</v>
          </cell>
          <cell r="C139">
            <v>25</v>
          </cell>
          <cell r="D139">
            <v>80</v>
          </cell>
          <cell r="E139">
            <v>4.1950000000000003</v>
          </cell>
        </row>
        <row r="140">
          <cell r="A140">
            <v>8935</v>
          </cell>
          <cell r="B140">
            <v>14</v>
          </cell>
          <cell r="C140">
            <v>50</v>
          </cell>
          <cell r="D140">
            <v>95</v>
          </cell>
          <cell r="E140">
            <v>2.0975000000000001</v>
          </cell>
        </row>
        <row r="141">
          <cell r="A141">
            <v>9086</v>
          </cell>
          <cell r="B141">
            <v>13</v>
          </cell>
          <cell r="C141">
            <v>20</v>
          </cell>
          <cell r="D141">
            <v>45</v>
          </cell>
          <cell r="E141">
            <v>9.2289999999999992</v>
          </cell>
        </row>
        <row r="142">
          <cell r="A142">
            <v>9068</v>
          </cell>
          <cell r="B142">
            <v>15</v>
          </cell>
          <cell r="C142">
            <v>20</v>
          </cell>
          <cell r="D142">
            <v>90</v>
          </cell>
          <cell r="E142">
            <v>1.6779999999999999</v>
          </cell>
        </row>
        <row r="143">
          <cell r="A143">
            <v>3217</v>
          </cell>
          <cell r="B143">
            <v>16</v>
          </cell>
          <cell r="C143">
            <v>40</v>
          </cell>
          <cell r="D143">
            <v>92</v>
          </cell>
          <cell r="E143">
            <v>2.6848000000000001</v>
          </cell>
        </row>
        <row r="144">
          <cell r="A144">
            <v>2108</v>
          </cell>
          <cell r="B144">
            <v>13</v>
          </cell>
          <cell r="C144">
            <v>50</v>
          </cell>
          <cell r="D144">
            <v>90</v>
          </cell>
          <cell r="E144">
            <v>4.1950000000000003</v>
          </cell>
        </row>
        <row r="145">
          <cell r="A145">
            <v>4286</v>
          </cell>
          <cell r="B145">
            <v>14</v>
          </cell>
          <cell r="C145">
            <v>55</v>
          </cell>
          <cell r="D145">
            <v>90</v>
          </cell>
          <cell r="E145">
            <v>4.6144999999999996</v>
          </cell>
        </row>
        <row r="146">
          <cell r="A146">
            <v>6436</v>
          </cell>
          <cell r="B146">
            <v>16</v>
          </cell>
          <cell r="C146">
            <v>35</v>
          </cell>
          <cell r="D146">
            <v>90</v>
          </cell>
          <cell r="E146">
            <v>2.9364999999999997</v>
          </cell>
        </row>
        <row r="147">
          <cell r="A147">
            <v>4009</v>
          </cell>
          <cell r="B147">
            <v>15</v>
          </cell>
          <cell r="C147">
            <v>40</v>
          </cell>
          <cell r="D147">
            <v>90</v>
          </cell>
          <cell r="E147">
            <v>3.3559999999999999</v>
          </cell>
        </row>
        <row r="148">
          <cell r="A148">
            <v>9149</v>
          </cell>
          <cell r="B148">
            <v>17</v>
          </cell>
          <cell r="C148">
            <v>20</v>
          </cell>
          <cell r="D148">
            <v>80</v>
          </cell>
          <cell r="E148">
            <v>3.3559999999999999</v>
          </cell>
        </row>
        <row r="149">
          <cell r="A149">
            <v>4642</v>
          </cell>
          <cell r="B149">
            <v>16</v>
          </cell>
          <cell r="C149">
            <v>45</v>
          </cell>
          <cell r="D149">
            <v>90</v>
          </cell>
          <cell r="E149">
            <v>3.7755000000000001</v>
          </cell>
        </row>
        <row r="150">
          <cell r="A150">
            <v>8688</v>
          </cell>
          <cell r="B150">
            <v>14</v>
          </cell>
          <cell r="C150">
            <v>45</v>
          </cell>
          <cell r="D150">
            <v>90</v>
          </cell>
          <cell r="E150">
            <v>3.7755000000000001</v>
          </cell>
        </row>
        <row r="151">
          <cell r="A151">
            <v>7974</v>
          </cell>
          <cell r="B151">
            <v>13</v>
          </cell>
          <cell r="C151">
            <v>25</v>
          </cell>
          <cell r="D151">
            <v>95</v>
          </cell>
          <cell r="E151">
            <v>1.0487500000000001</v>
          </cell>
        </row>
        <row r="152">
          <cell r="A152">
            <v>9319</v>
          </cell>
          <cell r="B152">
            <v>14</v>
          </cell>
          <cell r="C152">
            <v>15</v>
          </cell>
          <cell r="D152">
            <v>50</v>
          </cell>
          <cell r="E152">
            <v>6.2925000000000004</v>
          </cell>
        </row>
        <row r="153">
          <cell r="A153" t="str">
            <v>КЗНО</v>
          </cell>
          <cell r="C153">
            <v>485</v>
          </cell>
          <cell r="E153">
            <v>53.234549999999999</v>
          </cell>
        </row>
        <row r="154">
          <cell r="A154">
            <v>3626</v>
          </cell>
          <cell r="B154">
            <v>15</v>
          </cell>
          <cell r="C154">
            <v>25</v>
          </cell>
          <cell r="D154">
            <v>92</v>
          </cell>
          <cell r="E154">
            <v>1.6779999999999999</v>
          </cell>
        </row>
        <row r="155">
          <cell r="A155">
            <v>3854</v>
          </cell>
          <cell r="B155">
            <v>17</v>
          </cell>
          <cell r="C155">
            <v>20</v>
          </cell>
          <cell r="D155">
            <v>75</v>
          </cell>
          <cell r="E155">
            <v>4.1950000000000003</v>
          </cell>
        </row>
        <row r="156">
          <cell r="A156">
            <v>517</v>
          </cell>
          <cell r="D156" t="str">
            <v>ФЛС</v>
          </cell>
        </row>
        <row r="157">
          <cell r="A157">
            <v>8780</v>
          </cell>
          <cell r="B157">
            <v>17</v>
          </cell>
          <cell r="C157">
            <v>45</v>
          </cell>
          <cell r="D157">
            <v>60</v>
          </cell>
          <cell r="E157">
            <v>15.102</v>
          </cell>
        </row>
        <row r="158">
          <cell r="A158">
            <v>6041</v>
          </cell>
          <cell r="B158">
            <v>17</v>
          </cell>
          <cell r="C158">
            <v>55</v>
          </cell>
          <cell r="D158">
            <v>90</v>
          </cell>
          <cell r="E158">
            <v>4.6144999999999996</v>
          </cell>
        </row>
        <row r="159">
          <cell r="A159">
            <v>8862</v>
          </cell>
          <cell r="B159">
            <v>17</v>
          </cell>
          <cell r="C159">
            <v>55</v>
          </cell>
          <cell r="D159">
            <v>90</v>
          </cell>
          <cell r="E159">
            <v>4.6144999999999996</v>
          </cell>
        </row>
        <row r="160">
          <cell r="A160">
            <v>8559</v>
          </cell>
          <cell r="B160">
            <v>17</v>
          </cell>
          <cell r="C160">
            <v>35</v>
          </cell>
          <cell r="D160">
            <v>65</v>
          </cell>
          <cell r="E160">
            <v>10.277749999999999</v>
          </cell>
        </row>
        <row r="161">
          <cell r="A161">
            <v>311</v>
          </cell>
          <cell r="B161">
            <v>13</v>
          </cell>
          <cell r="C161">
            <v>40</v>
          </cell>
          <cell r="D161">
            <v>92</v>
          </cell>
          <cell r="E161">
            <v>2.6848000000000001</v>
          </cell>
        </row>
        <row r="162">
          <cell r="A162">
            <v>219</v>
          </cell>
          <cell r="B162">
            <v>14</v>
          </cell>
          <cell r="C162">
            <v>30</v>
          </cell>
          <cell r="D162">
            <v>60</v>
          </cell>
          <cell r="E162">
            <v>10.068</v>
          </cell>
        </row>
        <row r="163">
          <cell r="A163">
            <v>9127</v>
          </cell>
          <cell r="B163">
            <v>18</v>
          </cell>
          <cell r="C163">
            <v>40</v>
          </cell>
          <cell r="D163">
            <v>70</v>
          </cell>
          <cell r="E163">
            <v>10.068</v>
          </cell>
        </row>
        <row r="164">
          <cell r="A164">
            <v>4159</v>
          </cell>
          <cell r="B164">
            <v>13</v>
          </cell>
          <cell r="C164">
            <v>20</v>
          </cell>
          <cell r="D164">
            <v>50</v>
          </cell>
          <cell r="E164">
            <v>8.39</v>
          </cell>
        </row>
        <row r="165">
          <cell r="A165" t="str">
            <v>ОЗНА-Импульс</v>
          </cell>
          <cell r="C165">
            <v>365</v>
          </cell>
          <cell r="E165">
            <v>71.692549999999997</v>
          </cell>
        </row>
        <row r="166">
          <cell r="A166">
            <v>4831</v>
          </cell>
          <cell r="B166">
            <v>15</v>
          </cell>
          <cell r="C166">
            <v>65</v>
          </cell>
          <cell r="D166">
            <v>95</v>
          </cell>
          <cell r="E166">
            <v>2.72675</v>
          </cell>
        </row>
        <row r="169">
          <cell r="A169">
            <v>9630</v>
          </cell>
          <cell r="B169">
            <v>18</v>
          </cell>
          <cell r="C169">
            <v>45</v>
          </cell>
          <cell r="D169">
            <v>85</v>
          </cell>
          <cell r="E169">
            <v>5.6632499999999997</v>
          </cell>
        </row>
        <row r="172">
          <cell r="A172">
            <v>6983</v>
          </cell>
          <cell r="B172">
            <v>18</v>
          </cell>
          <cell r="C172">
            <v>20</v>
          </cell>
          <cell r="D172">
            <v>55</v>
          </cell>
          <cell r="E172">
            <v>7.5510000000000002</v>
          </cell>
        </row>
        <row r="175">
          <cell r="A175">
            <v>9919</v>
          </cell>
          <cell r="B175">
            <v>18</v>
          </cell>
          <cell r="C175">
            <v>35</v>
          </cell>
          <cell r="D175">
            <v>60</v>
          </cell>
          <cell r="E175">
            <v>11.745999999999999</v>
          </cell>
        </row>
        <row r="178">
          <cell r="A178">
            <v>9926</v>
          </cell>
          <cell r="B178">
            <v>18</v>
          </cell>
          <cell r="C178">
            <v>65</v>
          </cell>
          <cell r="D178">
            <v>94</v>
          </cell>
          <cell r="E178">
            <v>3.2721</v>
          </cell>
        </row>
        <row r="181">
          <cell r="A181">
            <v>9817</v>
          </cell>
          <cell r="B181">
            <v>18</v>
          </cell>
          <cell r="C181">
            <v>40</v>
          </cell>
          <cell r="D181">
            <v>55</v>
          </cell>
          <cell r="E181">
            <v>15.102</v>
          </cell>
        </row>
        <row r="184">
          <cell r="A184">
            <v>9445</v>
          </cell>
          <cell r="B184">
            <v>18</v>
          </cell>
          <cell r="C184">
            <v>50</v>
          </cell>
          <cell r="D184">
            <v>60</v>
          </cell>
          <cell r="E184">
            <v>16.78</v>
          </cell>
        </row>
        <row r="187">
          <cell r="A187">
            <v>669</v>
          </cell>
          <cell r="B187">
            <v>17</v>
          </cell>
          <cell r="C187">
            <v>40</v>
          </cell>
          <cell r="D187">
            <v>80</v>
          </cell>
          <cell r="E187">
            <v>6.7119999999999997</v>
          </cell>
        </row>
        <row r="190">
          <cell r="A190">
            <v>6139</v>
          </cell>
          <cell r="B190">
            <v>13</v>
          </cell>
        </row>
        <row r="191">
          <cell r="C191">
            <v>15</v>
          </cell>
          <cell r="D191">
            <v>50</v>
          </cell>
          <cell r="E191">
            <v>5</v>
          </cell>
        </row>
        <row r="193">
          <cell r="A193">
            <v>3623</v>
          </cell>
          <cell r="B193">
            <v>13</v>
          </cell>
          <cell r="C193">
            <v>15</v>
          </cell>
          <cell r="D193">
            <v>85</v>
          </cell>
          <cell r="E193">
            <v>1.88775</v>
          </cell>
        </row>
        <row r="196">
          <cell r="A196">
            <v>8060</v>
          </cell>
          <cell r="B196">
            <v>18</v>
          </cell>
          <cell r="C196">
            <v>25</v>
          </cell>
          <cell r="D196">
            <v>50</v>
          </cell>
          <cell r="E196">
            <v>10.487500000000001</v>
          </cell>
        </row>
        <row r="199">
          <cell r="A199" t="str">
            <v>АГЗУ-Поток</v>
          </cell>
          <cell r="C199">
            <v>415</v>
          </cell>
          <cell r="E199">
            <v>86.928349999999995</v>
          </cell>
        </row>
        <row r="200">
          <cell r="C200">
            <v>2235</v>
          </cell>
          <cell r="E200">
            <v>298.60805000000005</v>
          </cell>
        </row>
        <row r="201">
          <cell r="A201">
            <v>3203</v>
          </cell>
          <cell r="B201">
            <v>14</v>
          </cell>
          <cell r="C201">
            <v>35</v>
          </cell>
          <cell r="D201">
            <v>92</v>
          </cell>
          <cell r="E201">
            <v>2.3491999999999997</v>
          </cell>
        </row>
        <row r="202">
          <cell r="A202">
            <v>2762</v>
          </cell>
          <cell r="D202" t="str">
            <v>ФЛС</v>
          </cell>
        </row>
        <row r="203">
          <cell r="A203">
            <v>5934</v>
          </cell>
          <cell r="B203">
            <v>14</v>
          </cell>
          <cell r="C203">
            <v>50</v>
          </cell>
          <cell r="D203">
            <v>92</v>
          </cell>
          <cell r="E203">
            <v>3.3559999999999999</v>
          </cell>
        </row>
        <row r="204">
          <cell r="A204">
            <v>7661</v>
          </cell>
          <cell r="B204">
            <v>18</v>
          </cell>
          <cell r="C204">
            <v>20</v>
          </cell>
          <cell r="D204">
            <v>80</v>
          </cell>
          <cell r="E204">
            <v>3.3559999999999999</v>
          </cell>
        </row>
        <row r="205">
          <cell r="A205">
            <v>9918</v>
          </cell>
          <cell r="B205">
            <v>18</v>
          </cell>
          <cell r="C205">
            <v>45</v>
          </cell>
          <cell r="D205">
            <v>90</v>
          </cell>
          <cell r="E205">
            <v>3.7755000000000001</v>
          </cell>
        </row>
        <row r="206">
          <cell r="A206">
            <v>6169</v>
          </cell>
          <cell r="D206" t="str">
            <v>КФ</v>
          </cell>
        </row>
        <row r="207">
          <cell r="A207">
            <v>4108</v>
          </cell>
          <cell r="D207" t="str">
            <v>ФЛС</v>
          </cell>
        </row>
        <row r="208">
          <cell r="A208">
            <v>2761</v>
          </cell>
          <cell r="B208">
            <v>13</v>
          </cell>
          <cell r="C208">
            <v>20</v>
          </cell>
          <cell r="D208">
            <v>75</v>
          </cell>
          <cell r="E208">
            <v>4.1950000000000003</v>
          </cell>
        </row>
        <row r="209">
          <cell r="A209">
            <v>4822</v>
          </cell>
          <cell r="B209">
            <v>18</v>
          </cell>
          <cell r="C209">
            <v>45</v>
          </cell>
          <cell r="D209">
            <v>92</v>
          </cell>
          <cell r="E209">
            <v>3.0203999999999995</v>
          </cell>
        </row>
        <row r="210">
          <cell r="A210">
            <v>9890</v>
          </cell>
          <cell r="B210">
            <v>18</v>
          </cell>
          <cell r="C210">
            <v>60</v>
          </cell>
          <cell r="D210">
            <v>90</v>
          </cell>
          <cell r="E210">
            <v>5.0339999999999998</v>
          </cell>
        </row>
        <row r="211">
          <cell r="A211">
            <v>3204</v>
          </cell>
          <cell r="D211" t="str">
            <v>флс</v>
          </cell>
        </row>
        <row r="212">
          <cell r="A212">
            <v>6082</v>
          </cell>
          <cell r="D212" t="str">
            <v>КФ</v>
          </cell>
        </row>
        <row r="213">
          <cell r="A213" t="str">
            <v>ОЗНА-Импульс</v>
          </cell>
          <cell r="C213">
            <v>275</v>
          </cell>
          <cell r="E213">
            <v>25.086099999999998</v>
          </cell>
        </row>
        <row r="214">
          <cell r="A214">
            <v>4114</v>
          </cell>
          <cell r="B214">
            <v>15</v>
          </cell>
          <cell r="C214">
            <v>45</v>
          </cell>
          <cell r="D214">
            <v>90</v>
          </cell>
          <cell r="E214">
            <v>3.7755000000000001</v>
          </cell>
        </row>
        <row r="215">
          <cell r="A215">
            <v>9941</v>
          </cell>
          <cell r="B215">
            <v>17</v>
          </cell>
          <cell r="C215">
            <v>45</v>
          </cell>
          <cell r="D215">
            <v>90</v>
          </cell>
          <cell r="E215">
            <v>3.7755000000000001</v>
          </cell>
        </row>
        <row r="216">
          <cell r="A216">
            <v>5803</v>
          </cell>
          <cell r="B216">
            <v>17</v>
          </cell>
          <cell r="C216">
            <v>45</v>
          </cell>
          <cell r="D216">
            <v>90</v>
          </cell>
          <cell r="E216">
            <v>3.7755000000000001</v>
          </cell>
        </row>
        <row r="217">
          <cell r="A217">
            <v>3233</v>
          </cell>
          <cell r="B217">
            <v>16</v>
          </cell>
          <cell r="C217">
            <v>50</v>
          </cell>
          <cell r="D217">
            <v>95</v>
          </cell>
          <cell r="E217">
            <v>2.0975000000000001</v>
          </cell>
        </row>
        <row r="218">
          <cell r="A218">
            <v>9944</v>
          </cell>
          <cell r="B218">
            <v>17</v>
          </cell>
          <cell r="C218">
            <v>30</v>
          </cell>
          <cell r="D218">
            <v>90</v>
          </cell>
          <cell r="E218">
            <v>2.5169999999999999</v>
          </cell>
        </row>
        <row r="219">
          <cell r="A219">
            <v>4666</v>
          </cell>
          <cell r="B219">
            <v>13</v>
          </cell>
          <cell r="C219">
            <v>20</v>
          </cell>
          <cell r="D219">
            <v>80</v>
          </cell>
          <cell r="E219">
            <v>3.3559999999999999</v>
          </cell>
        </row>
        <row r="220">
          <cell r="A220">
            <v>7239</v>
          </cell>
          <cell r="B220">
            <v>14</v>
          </cell>
          <cell r="C220">
            <v>30</v>
          </cell>
          <cell r="D220">
            <v>80</v>
          </cell>
          <cell r="E220">
            <v>5.0339999999999998</v>
          </cell>
        </row>
        <row r="221">
          <cell r="A221">
            <v>6764</v>
          </cell>
          <cell r="B221">
            <v>17</v>
          </cell>
          <cell r="C221">
            <v>40</v>
          </cell>
          <cell r="D221">
            <v>92</v>
          </cell>
          <cell r="E221">
            <v>2.6848000000000001</v>
          </cell>
        </row>
        <row r="222">
          <cell r="A222">
            <v>2759</v>
          </cell>
          <cell r="B222">
            <v>14</v>
          </cell>
          <cell r="C222">
            <v>15</v>
          </cell>
          <cell r="D222">
            <v>65</v>
          </cell>
          <cell r="E222">
            <v>4.4047499999999999</v>
          </cell>
        </row>
        <row r="223">
          <cell r="A223">
            <v>216</v>
          </cell>
          <cell r="D223" t="str">
            <v>ФЛС</v>
          </cell>
        </row>
        <row r="224">
          <cell r="A224">
            <v>4688</v>
          </cell>
          <cell r="B224">
            <v>14</v>
          </cell>
          <cell r="D224" t="str">
            <v>бд</v>
          </cell>
        </row>
        <row r="225">
          <cell r="A225">
            <v>5981</v>
          </cell>
          <cell r="B225">
            <v>14</v>
          </cell>
          <cell r="C225">
            <v>30</v>
          </cell>
          <cell r="D225">
            <v>90</v>
          </cell>
          <cell r="E225">
            <v>2.5169999999999999</v>
          </cell>
        </row>
        <row r="226">
          <cell r="A226">
            <v>3238</v>
          </cell>
          <cell r="B226">
            <v>14</v>
          </cell>
          <cell r="C226">
            <v>45</v>
          </cell>
          <cell r="D226">
            <v>93</v>
          </cell>
          <cell r="E226">
            <v>2.6428499999999997</v>
          </cell>
        </row>
        <row r="227">
          <cell r="A227">
            <v>5238</v>
          </cell>
          <cell r="B227">
            <v>17</v>
          </cell>
          <cell r="C227">
            <v>25</v>
          </cell>
          <cell r="D227">
            <v>55</v>
          </cell>
          <cell r="E227">
            <v>9.4387500000000006</v>
          </cell>
        </row>
        <row r="228">
          <cell r="A228" t="str">
            <v>ОЗНА-Импульс</v>
          </cell>
          <cell r="C228">
            <v>420</v>
          </cell>
          <cell r="E228">
            <v>46.019149999999996</v>
          </cell>
        </row>
        <row r="229">
          <cell r="A229">
            <v>1184</v>
          </cell>
          <cell r="B229">
            <v>18</v>
          </cell>
          <cell r="C229">
            <v>50</v>
          </cell>
          <cell r="D229">
            <v>93</v>
          </cell>
          <cell r="E229">
            <v>2.9364999999999997</v>
          </cell>
        </row>
        <row r="230">
          <cell r="A230">
            <v>6167</v>
          </cell>
          <cell r="B230">
            <v>14</v>
          </cell>
          <cell r="C230">
            <v>45</v>
          </cell>
          <cell r="D230">
            <v>95</v>
          </cell>
          <cell r="E230">
            <v>1.88775</v>
          </cell>
        </row>
        <row r="231">
          <cell r="A231">
            <v>6089</v>
          </cell>
          <cell r="B231">
            <v>17</v>
          </cell>
          <cell r="C231">
            <v>75</v>
          </cell>
          <cell r="D231">
            <v>95</v>
          </cell>
          <cell r="E231">
            <v>3.1462500000000002</v>
          </cell>
        </row>
        <row r="232">
          <cell r="A232">
            <v>2911</v>
          </cell>
          <cell r="D232" t="str">
            <v>ФЛС</v>
          </cell>
        </row>
        <row r="233">
          <cell r="A233">
            <v>6043</v>
          </cell>
          <cell r="B233">
            <v>17</v>
          </cell>
          <cell r="C233">
            <v>90</v>
          </cell>
          <cell r="D233">
            <v>95</v>
          </cell>
          <cell r="E233">
            <v>3.7755000000000001</v>
          </cell>
        </row>
        <row r="234">
          <cell r="A234" t="str">
            <v>АГЗУ 10-ти отводный-тор</v>
          </cell>
          <cell r="C234">
            <v>260</v>
          </cell>
          <cell r="E234">
            <v>11.745999999999999</v>
          </cell>
        </row>
        <row r="235">
          <cell r="A235">
            <v>518</v>
          </cell>
          <cell r="B235">
            <v>15</v>
          </cell>
          <cell r="C235">
            <v>40</v>
          </cell>
          <cell r="D235">
            <v>90</v>
          </cell>
          <cell r="E235">
            <v>3.3559999999999999</v>
          </cell>
        </row>
        <row r="236">
          <cell r="A236">
            <v>2113</v>
          </cell>
          <cell r="B236">
            <v>14</v>
          </cell>
          <cell r="C236">
            <v>60</v>
          </cell>
          <cell r="D236">
            <v>70</v>
          </cell>
          <cell r="E236">
            <v>15.102</v>
          </cell>
        </row>
        <row r="237">
          <cell r="A237">
            <v>6044</v>
          </cell>
          <cell r="B237">
            <v>17</v>
          </cell>
          <cell r="C237">
            <v>50</v>
          </cell>
          <cell r="D237">
            <v>60</v>
          </cell>
          <cell r="E237">
            <v>16.78</v>
          </cell>
        </row>
        <row r="238">
          <cell r="A238">
            <v>6766</v>
          </cell>
          <cell r="B238">
            <v>15</v>
          </cell>
          <cell r="C238">
            <v>60</v>
          </cell>
          <cell r="D238">
            <v>90</v>
          </cell>
          <cell r="E238">
            <v>5.0339999999999998</v>
          </cell>
        </row>
        <row r="239">
          <cell r="A239">
            <v>2763</v>
          </cell>
          <cell r="B239" t="str">
            <v>13/14</v>
          </cell>
          <cell r="C239">
            <v>50</v>
          </cell>
          <cell r="D239">
            <v>94</v>
          </cell>
          <cell r="E239">
            <v>2.5169999999999999</v>
          </cell>
        </row>
        <row r="240">
          <cell r="A240">
            <v>7933</v>
          </cell>
          <cell r="D240" t="str">
            <v>ФЛС</v>
          </cell>
        </row>
        <row r="241">
          <cell r="A241">
            <v>8026</v>
          </cell>
          <cell r="B241">
            <v>18</v>
          </cell>
          <cell r="C241">
            <v>40</v>
          </cell>
          <cell r="D241">
            <v>50</v>
          </cell>
          <cell r="E241">
            <v>16.78</v>
          </cell>
        </row>
        <row r="242">
          <cell r="A242">
            <v>8033</v>
          </cell>
          <cell r="B242">
            <v>18</v>
          </cell>
          <cell r="C242">
            <v>25</v>
          </cell>
          <cell r="D242">
            <v>50</v>
          </cell>
          <cell r="E242">
            <v>10.487500000000001</v>
          </cell>
        </row>
        <row r="243">
          <cell r="A243">
            <v>6124</v>
          </cell>
          <cell r="B243">
            <v>14</v>
          </cell>
          <cell r="C243">
            <v>45</v>
          </cell>
          <cell r="D243">
            <v>90</v>
          </cell>
          <cell r="E243">
            <v>3.7755000000000001</v>
          </cell>
        </row>
        <row r="244">
          <cell r="A244">
            <v>6981</v>
          </cell>
          <cell r="B244">
            <v>16</v>
          </cell>
          <cell r="C244">
            <v>55</v>
          </cell>
          <cell r="D244">
            <v>90</v>
          </cell>
          <cell r="E244">
            <v>4.6144999999999996</v>
          </cell>
        </row>
        <row r="245">
          <cell r="A245">
            <v>2780</v>
          </cell>
          <cell r="B245">
            <v>14</v>
          </cell>
          <cell r="C245">
            <v>5</v>
          </cell>
          <cell r="D245">
            <v>85</v>
          </cell>
          <cell r="E245">
            <v>0.62924999999999998</v>
          </cell>
        </row>
        <row r="246">
          <cell r="A246">
            <v>6813</v>
          </cell>
          <cell r="B246">
            <v>17</v>
          </cell>
          <cell r="C246">
            <v>75</v>
          </cell>
          <cell r="D246">
            <v>90</v>
          </cell>
          <cell r="E246">
            <v>6.2925000000000004</v>
          </cell>
        </row>
        <row r="247">
          <cell r="A247">
            <v>221</v>
          </cell>
          <cell r="B247">
            <v>13</v>
          </cell>
          <cell r="C247">
            <v>20</v>
          </cell>
          <cell r="D247">
            <v>75</v>
          </cell>
          <cell r="E247">
            <v>4.1950000000000003</v>
          </cell>
        </row>
        <row r="248">
          <cell r="A248">
            <v>8917</v>
          </cell>
          <cell r="B248">
            <v>15</v>
          </cell>
          <cell r="C248">
            <v>35</v>
          </cell>
          <cell r="D248">
            <v>65</v>
          </cell>
          <cell r="E248">
            <v>10.277749999999999</v>
          </cell>
        </row>
        <row r="249">
          <cell r="A249">
            <v>9248</v>
          </cell>
          <cell r="B249">
            <v>18</v>
          </cell>
          <cell r="C249">
            <v>55</v>
          </cell>
          <cell r="D249">
            <v>80</v>
          </cell>
          <cell r="E249">
            <v>9.2289999999999992</v>
          </cell>
        </row>
        <row r="250">
          <cell r="A250">
            <v>6458</v>
          </cell>
          <cell r="B250">
            <v>18</v>
          </cell>
          <cell r="C250">
            <v>35</v>
          </cell>
          <cell r="D250">
            <v>50</v>
          </cell>
          <cell r="E250">
            <v>14.682499999999999</v>
          </cell>
        </row>
        <row r="251">
          <cell r="A251" t="str">
            <v>ОЗНА-Импульс</v>
          </cell>
          <cell r="C251">
            <v>650</v>
          </cell>
          <cell r="E251">
            <v>123.75249999999998</v>
          </cell>
        </row>
        <row r="252">
          <cell r="A252">
            <v>75</v>
          </cell>
          <cell r="B252">
            <v>17</v>
          </cell>
          <cell r="C252">
            <v>55</v>
          </cell>
          <cell r="D252">
            <v>75</v>
          </cell>
          <cell r="E252">
            <v>11.536250000000001</v>
          </cell>
        </row>
        <row r="253">
          <cell r="A253">
            <v>4764</v>
          </cell>
          <cell r="B253">
            <v>14</v>
          </cell>
          <cell r="C253">
            <v>35</v>
          </cell>
          <cell r="D253">
            <v>92</v>
          </cell>
          <cell r="E253">
            <v>2.3491999999999997</v>
          </cell>
        </row>
        <row r="254">
          <cell r="A254">
            <v>9927</v>
          </cell>
          <cell r="B254">
            <v>17</v>
          </cell>
          <cell r="C254">
            <v>45</v>
          </cell>
          <cell r="D254">
            <v>90</v>
          </cell>
          <cell r="E254">
            <v>3.7755000000000001</v>
          </cell>
        </row>
        <row r="255">
          <cell r="A255">
            <v>9924</v>
          </cell>
          <cell r="B255">
            <v>18</v>
          </cell>
          <cell r="C255">
            <v>30</v>
          </cell>
          <cell r="D255">
            <v>85</v>
          </cell>
          <cell r="E255">
            <v>3.7755000000000001</v>
          </cell>
        </row>
        <row r="256">
          <cell r="A256">
            <v>9928</v>
          </cell>
          <cell r="B256">
            <v>17</v>
          </cell>
          <cell r="C256">
            <v>35</v>
          </cell>
          <cell r="D256">
            <v>95</v>
          </cell>
          <cell r="E256">
            <v>1.4682499999999998</v>
          </cell>
        </row>
        <row r="257">
          <cell r="A257">
            <v>9930</v>
          </cell>
          <cell r="B257">
            <v>17</v>
          </cell>
          <cell r="C257">
            <v>80</v>
          </cell>
          <cell r="D257">
            <v>94</v>
          </cell>
          <cell r="E257">
            <v>4.0271999999999997</v>
          </cell>
        </row>
        <row r="258">
          <cell r="A258">
            <v>6908</v>
          </cell>
          <cell r="B258">
            <v>16</v>
          </cell>
          <cell r="C258">
            <v>155</v>
          </cell>
          <cell r="D258">
            <v>95</v>
          </cell>
          <cell r="E258">
            <v>6.5022500000000001</v>
          </cell>
        </row>
        <row r="259">
          <cell r="A259">
            <v>8040</v>
          </cell>
          <cell r="B259">
            <v>17</v>
          </cell>
          <cell r="C259">
            <v>50</v>
          </cell>
          <cell r="D259">
            <v>85</v>
          </cell>
          <cell r="E259">
            <v>6.2925000000000004</v>
          </cell>
        </row>
        <row r="260">
          <cell r="A260">
            <v>284</v>
          </cell>
          <cell r="B260">
            <v>15</v>
          </cell>
          <cell r="C260">
            <v>50</v>
          </cell>
          <cell r="D260">
            <v>95</v>
          </cell>
          <cell r="E260">
            <v>2.0975000000000001</v>
          </cell>
        </row>
        <row r="261">
          <cell r="A261">
            <v>7458</v>
          </cell>
          <cell r="B261">
            <v>16</v>
          </cell>
          <cell r="C261">
            <v>70</v>
          </cell>
          <cell r="D261">
            <v>95</v>
          </cell>
          <cell r="E261">
            <v>2.9364999999999997</v>
          </cell>
        </row>
        <row r="262">
          <cell r="A262">
            <v>4631</v>
          </cell>
          <cell r="B262" t="str">
            <v>13/14</v>
          </cell>
          <cell r="C262">
            <v>40</v>
          </cell>
          <cell r="D262">
            <v>85</v>
          </cell>
          <cell r="E262">
            <v>5.0339999999999998</v>
          </cell>
        </row>
        <row r="263">
          <cell r="A263">
            <v>4103</v>
          </cell>
          <cell r="B263">
            <v>14</v>
          </cell>
          <cell r="C263">
            <v>25</v>
          </cell>
          <cell r="D263">
            <v>80</v>
          </cell>
          <cell r="E263">
            <v>4.1950000000000003</v>
          </cell>
        </row>
        <row r="264">
          <cell r="A264" t="str">
            <v>ОЗНА-Импульс</v>
          </cell>
          <cell r="C264">
            <v>670</v>
          </cell>
          <cell r="E264">
            <v>53.989650000000005</v>
          </cell>
        </row>
        <row r="265">
          <cell r="A265">
            <v>8063</v>
          </cell>
          <cell r="B265">
            <v>14</v>
          </cell>
          <cell r="C265">
            <v>45</v>
          </cell>
          <cell r="D265">
            <v>92</v>
          </cell>
          <cell r="E265">
            <v>3.0203999999999995</v>
          </cell>
        </row>
        <row r="266">
          <cell r="A266">
            <v>3629</v>
          </cell>
          <cell r="B266">
            <v>15</v>
          </cell>
          <cell r="C266">
            <v>55</v>
          </cell>
          <cell r="D266">
            <v>92</v>
          </cell>
          <cell r="E266">
            <v>3.6915999999999998</v>
          </cell>
        </row>
        <row r="267">
          <cell r="A267">
            <v>4102</v>
          </cell>
          <cell r="B267">
            <v>17</v>
          </cell>
          <cell r="C267">
            <v>5</v>
          </cell>
          <cell r="D267">
            <v>65</v>
          </cell>
          <cell r="E267">
            <v>1.4682499999999998</v>
          </cell>
        </row>
        <row r="268">
          <cell r="A268">
            <v>5955</v>
          </cell>
          <cell r="B268">
            <v>14</v>
          </cell>
          <cell r="C268">
            <v>25</v>
          </cell>
          <cell r="D268">
            <v>85</v>
          </cell>
          <cell r="E268">
            <v>3.1462500000000002</v>
          </cell>
        </row>
        <row r="269">
          <cell r="A269">
            <v>8032</v>
          </cell>
          <cell r="B269">
            <v>18</v>
          </cell>
          <cell r="C269">
            <v>10</v>
          </cell>
          <cell r="D269">
            <v>80</v>
          </cell>
          <cell r="E269">
            <v>1.6779999999999999</v>
          </cell>
        </row>
        <row r="270">
          <cell r="A270">
            <v>9929</v>
          </cell>
          <cell r="B270">
            <v>18</v>
          </cell>
          <cell r="C270">
            <v>35</v>
          </cell>
          <cell r="D270">
            <v>85</v>
          </cell>
          <cell r="E270">
            <v>4.4047499999999999</v>
          </cell>
        </row>
        <row r="271">
          <cell r="A271">
            <v>4226</v>
          </cell>
          <cell r="B271">
            <v>18</v>
          </cell>
          <cell r="C271">
            <v>30</v>
          </cell>
          <cell r="D271">
            <v>75</v>
          </cell>
          <cell r="E271">
            <v>6.2925000000000004</v>
          </cell>
        </row>
        <row r="272">
          <cell r="A272">
            <v>7660</v>
          </cell>
          <cell r="B272">
            <v>18</v>
          </cell>
          <cell r="C272">
            <v>10</v>
          </cell>
          <cell r="D272">
            <v>55</v>
          </cell>
          <cell r="E272">
            <v>3.7755000000000001</v>
          </cell>
        </row>
        <row r="273">
          <cell r="A273" t="str">
            <v>КЗНО</v>
          </cell>
          <cell r="C273">
            <v>215</v>
          </cell>
          <cell r="E273">
            <v>27.477250000000002</v>
          </cell>
        </row>
        <row r="274">
          <cell r="C274">
            <v>2490</v>
          </cell>
          <cell r="E274">
            <v>288.07065</v>
          </cell>
        </row>
        <row r="275">
          <cell r="A275">
            <v>2969</v>
          </cell>
          <cell r="B275">
            <v>14</v>
          </cell>
          <cell r="C275">
            <v>55</v>
          </cell>
          <cell r="D275">
            <v>94</v>
          </cell>
          <cell r="E275">
            <v>2.7686999999999999</v>
          </cell>
        </row>
        <row r="276">
          <cell r="A276">
            <v>2927</v>
          </cell>
          <cell r="B276">
            <v>14</v>
          </cell>
          <cell r="C276">
            <v>30</v>
          </cell>
          <cell r="D276">
            <v>65</v>
          </cell>
          <cell r="E276">
            <v>8.8094999999999999</v>
          </cell>
        </row>
        <row r="277">
          <cell r="A277">
            <v>6032</v>
          </cell>
          <cell r="B277">
            <v>14</v>
          </cell>
          <cell r="C277">
            <v>50</v>
          </cell>
          <cell r="D277">
            <v>93</v>
          </cell>
          <cell r="E277">
            <v>2.9364999999999997</v>
          </cell>
        </row>
        <row r="279">
          <cell r="A279">
            <v>5944</v>
          </cell>
          <cell r="B279">
            <v>13</v>
          </cell>
          <cell r="C279">
            <v>45</v>
          </cell>
          <cell r="D279">
            <v>92</v>
          </cell>
          <cell r="E279">
            <v>3.0203999999999995</v>
          </cell>
        </row>
        <row r="280">
          <cell r="A280">
            <v>6892</v>
          </cell>
          <cell r="B280">
            <v>14</v>
          </cell>
          <cell r="C280">
            <v>55</v>
          </cell>
          <cell r="D280">
            <v>95</v>
          </cell>
          <cell r="E280">
            <v>2.3072499999999998</v>
          </cell>
        </row>
        <row r="281">
          <cell r="A281">
            <v>2729</v>
          </cell>
          <cell r="B281">
            <v>13</v>
          </cell>
          <cell r="D281" t="str">
            <v>бд</v>
          </cell>
        </row>
        <row r="282">
          <cell r="A282">
            <v>526</v>
          </cell>
          <cell r="B282">
            <v>15</v>
          </cell>
          <cell r="C282">
            <v>40</v>
          </cell>
          <cell r="D282">
            <v>90</v>
          </cell>
          <cell r="E282">
            <v>3.3559999999999999</v>
          </cell>
        </row>
        <row r="283">
          <cell r="A283">
            <v>8755</v>
          </cell>
          <cell r="B283">
            <v>15</v>
          </cell>
          <cell r="C283">
            <v>30</v>
          </cell>
          <cell r="D283">
            <v>95</v>
          </cell>
          <cell r="E283">
            <v>1.2585</v>
          </cell>
        </row>
        <row r="284">
          <cell r="A284">
            <v>9543</v>
          </cell>
          <cell r="B284">
            <v>16</v>
          </cell>
          <cell r="C284">
            <v>45</v>
          </cell>
          <cell r="D284">
            <v>92</v>
          </cell>
          <cell r="E284">
            <v>3.0203999999999995</v>
          </cell>
        </row>
        <row r="285">
          <cell r="A285" t="str">
            <v>ОЗНА-Импульс</v>
          </cell>
          <cell r="C285">
            <v>350</v>
          </cell>
          <cell r="E285">
            <v>27.477249999999998</v>
          </cell>
        </row>
        <row r="286">
          <cell r="A286">
            <v>2926</v>
          </cell>
          <cell r="B286">
            <v>14</v>
          </cell>
          <cell r="C286">
            <v>40</v>
          </cell>
          <cell r="D286">
            <v>90</v>
          </cell>
          <cell r="E286">
            <v>3.3559999999999999</v>
          </cell>
        </row>
        <row r="289">
          <cell r="A289">
            <v>3261</v>
          </cell>
          <cell r="B289">
            <v>13</v>
          </cell>
          <cell r="C289">
            <v>25</v>
          </cell>
          <cell r="D289">
            <v>85</v>
          </cell>
          <cell r="E289">
            <v>3.1462500000000002</v>
          </cell>
        </row>
        <row r="292">
          <cell r="A292">
            <v>8087</v>
          </cell>
          <cell r="B292">
            <v>16</v>
          </cell>
          <cell r="C292">
            <v>50</v>
          </cell>
          <cell r="D292">
            <v>94</v>
          </cell>
          <cell r="E292">
            <v>2.5169999999999999</v>
          </cell>
        </row>
        <row r="295">
          <cell r="A295">
            <v>8088</v>
          </cell>
          <cell r="B295">
            <v>16</v>
          </cell>
          <cell r="C295">
            <v>50</v>
          </cell>
          <cell r="D295">
            <v>95</v>
          </cell>
          <cell r="E295">
            <v>2.0975000000000001</v>
          </cell>
        </row>
        <row r="298">
          <cell r="A298">
            <v>4608</v>
          </cell>
          <cell r="B298">
            <v>14</v>
          </cell>
          <cell r="C298">
            <v>50</v>
          </cell>
          <cell r="D298">
            <v>95</v>
          </cell>
          <cell r="E298">
            <v>2.0975000000000001</v>
          </cell>
        </row>
        <row r="301">
          <cell r="A301">
            <v>4641</v>
          </cell>
          <cell r="B301">
            <v>14</v>
          </cell>
          <cell r="C301">
            <v>40</v>
          </cell>
          <cell r="D301">
            <v>99</v>
          </cell>
          <cell r="E301">
            <v>0.33560000000000001</v>
          </cell>
        </row>
        <row r="304">
          <cell r="A304">
            <v>4230</v>
          </cell>
          <cell r="B304">
            <v>14</v>
          </cell>
          <cell r="C304">
            <v>50</v>
          </cell>
          <cell r="D304">
            <v>95</v>
          </cell>
          <cell r="E304">
            <v>2.0975000000000001</v>
          </cell>
        </row>
        <row r="307">
          <cell r="A307">
            <v>3828</v>
          </cell>
          <cell r="B307">
            <v>14</v>
          </cell>
          <cell r="C307">
            <v>20</v>
          </cell>
          <cell r="D307">
            <v>70</v>
          </cell>
          <cell r="E307">
            <v>5.0339999999999998</v>
          </cell>
        </row>
        <row r="310">
          <cell r="A310">
            <v>5052</v>
          </cell>
          <cell r="B310">
            <v>13</v>
          </cell>
          <cell r="C310">
            <v>25</v>
          </cell>
          <cell r="D310">
            <v>70</v>
          </cell>
          <cell r="E310">
            <v>6.2925000000000004</v>
          </cell>
        </row>
        <row r="313">
          <cell r="A313" t="str">
            <v>АГЗУ-Поток</v>
          </cell>
          <cell r="C313">
            <v>350</v>
          </cell>
          <cell r="E313">
            <v>26.973849999999999</v>
          </cell>
        </row>
        <row r="314">
          <cell r="A314">
            <v>521</v>
          </cell>
          <cell r="B314">
            <v>13</v>
          </cell>
          <cell r="C314">
            <v>45</v>
          </cell>
          <cell r="D314">
            <v>93</v>
          </cell>
          <cell r="E314">
            <v>2.6428499999999997</v>
          </cell>
        </row>
        <row r="315">
          <cell r="A315">
            <v>3201</v>
          </cell>
          <cell r="B315">
            <v>15</v>
          </cell>
          <cell r="C315">
            <v>45</v>
          </cell>
          <cell r="D315">
            <v>90</v>
          </cell>
          <cell r="E315">
            <v>3.7755000000000001</v>
          </cell>
        </row>
        <row r="316">
          <cell r="A316">
            <v>9249</v>
          </cell>
          <cell r="B316">
            <v>17</v>
          </cell>
          <cell r="C316">
            <v>70</v>
          </cell>
          <cell r="D316">
            <v>90</v>
          </cell>
          <cell r="E316">
            <v>5.8729999999999993</v>
          </cell>
        </row>
        <row r="317">
          <cell r="A317">
            <v>4741</v>
          </cell>
          <cell r="D317" t="str">
            <v>КФ</v>
          </cell>
        </row>
        <row r="318">
          <cell r="A318">
            <v>8036</v>
          </cell>
          <cell r="B318">
            <v>17</v>
          </cell>
          <cell r="C318">
            <v>70</v>
          </cell>
          <cell r="D318">
            <v>80</v>
          </cell>
          <cell r="E318">
            <v>11.745999999999999</v>
          </cell>
        </row>
        <row r="319">
          <cell r="A319">
            <v>3661</v>
          </cell>
          <cell r="B319">
            <v>14</v>
          </cell>
          <cell r="C319">
            <v>25</v>
          </cell>
          <cell r="D319">
            <v>85</v>
          </cell>
          <cell r="E319">
            <v>3.1462500000000002</v>
          </cell>
        </row>
        <row r="320">
          <cell r="A320">
            <v>5599</v>
          </cell>
          <cell r="B320">
            <v>14</v>
          </cell>
          <cell r="C320">
            <v>55</v>
          </cell>
          <cell r="D320">
            <v>95</v>
          </cell>
          <cell r="E320">
            <v>2.3072499999999998</v>
          </cell>
        </row>
        <row r="321">
          <cell r="A321">
            <v>6026</v>
          </cell>
          <cell r="B321">
            <v>14</v>
          </cell>
          <cell r="C321">
            <v>40</v>
          </cell>
          <cell r="D321">
            <v>55</v>
          </cell>
          <cell r="E321">
            <v>15.102</v>
          </cell>
        </row>
        <row r="322">
          <cell r="A322">
            <v>4425</v>
          </cell>
          <cell r="B322">
            <v>13</v>
          </cell>
          <cell r="C322">
            <v>40</v>
          </cell>
          <cell r="D322">
            <v>85</v>
          </cell>
          <cell r="E322">
            <v>5.0339999999999998</v>
          </cell>
        </row>
        <row r="323">
          <cell r="A323">
            <v>5043</v>
          </cell>
          <cell r="D323" t="str">
            <v>КФ</v>
          </cell>
        </row>
        <row r="324">
          <cell r="A324">
            <v>8038</v>
          </cell>
          <cell r="B324">
            <v>17</v>
          </cell>
          <cell r="C324">
            <v>75</v>
          </cell>
          <cell r="D324">
            <v>95</v>
          </cell>
          <cell r="E324">
            <v>3.1462500000000002</v>
          </cell>
        </row>
        <row r="325">
          <cell r="A325">
            <v>4221</v>
          </cell>
          <cell r="B325">
            <v>13</v>
          </cell>
          <cell r="C325">
            <v>40</v>
          </cell>
          <cell r="D325">
            <v>90</v>
          </cell>
          <cell r="E325">
            <v>3.3559999999999999</v>
          </cell>
        </row>
        <row r="326">
          <cell r="A326">
            <v>4854</v>
          </cell>
          <cell r="D326" t="str">
            <v>КФ</v>
          </cell>
        </row>
        <row r="327">
          <cell r="A327">
            <v>8045</v>
          </cell>
          <cell r="B327">
            <v>15</v>
          </cell>
          <cell r="C327">
            <v>55</v>
          </cell>
          <cell r="D327">
            <v>90</v>
          </cell>
          <cell r="E327">
            <v>4.6144999999999996</v>
          </cell>
        </row>
        <row r="328">
          <cell r="A328">
            <v>8937</v>
          </cell>
          <cell r="B328">
            <v>13</v>
          </cell>
          <cell r="C328">
            <v>30</v>
          </cell>
          <cell r="D328">
            <v>70</v>
          </cell>
          <cell r="E328">
            <v>7.5510000000000002</v>
          </cell>
        </row>
        <row r="329">
          <cell r="A329">
            <v>1187</v>
          </cell>
          <cell r="B329">
            <v>13</v>
          </cell>
          <cell r="C329">
            <v>20</v>
          </cell>
          <cell r="D329">
            <v>65</v>
          </cell>
          <cell r="E329">
            <v>5.8729999999999993</v>
          </cell>
        </row>
        <row r="330">
          <cell r="A330">
            <v>6381</v>
          </cell>
          <cell r="B330">
            <v>17</v>
          </cell>
          <cell r="C330">
            <v>45</v>
          </cell>
          <cell r="D330">
            <v>60</v>
          </cell>
          <cell r="E330">
            <v>15.102</v>
          </cell>
        </row>
        <row r="331">
          <cell r="A331">
            <v>9925</v>
          </cell>
          <cell r="B331">
            <v>18</v>
          </cell>
          <cell r="C331">
            <v>25</v>
          </cell>
          <cell r="D331">
            <v>60</v>
          </cell>
          <cell r="E331">
            <v>8.39</v>
          </cell>
        </row>
        <row r="332">
          <cell r="A332" t="str">
            <v>ОЗНА-Импульс</v>
          </cell>
          <cell r="C332">
            <v>680</v>
          </cell>
          <cell r="E332">
            <v>97.659600000000012</v>
          </cell>
        </row>
        <row r="333">
          <cell r="C333">
            <v>1380</v>
          </cell>
          <cell r="E333">
            <v>152.11070000000001</v>
          </cell>
        </row>
        <row r="334">
          <cell r="A334">
            <v>4218</v>
          </cell>
          <cell r="B334">
            <v>13</v>
          </cell>
          <cell r="C334">
            <v>20</v>
          </cell>
          <cell r="D334">
            <v>75</v>
          </cell>
          <cell r="E334">
            <v>4.1950000000000003</v>
          </cell>
        </row>
        <row r="335">
          <cell r="A335">
            <v>7108</v>
          </cell>
          <cell r="B335">
            <v>16</v>
          </cell>
          <cell r="C335">
            <v>75</v>
          </cell>
          <cell r="D335">
            <v>92</v>
          </cell>
          <cell r="E335">
            <v>5.0339999999999998</v>
          </cell>
        </row>
        <row r="336">
          <cell r="A336">
            <v>9797</v>
          </cell>
          <cell r="B336">
            <v>15</v>
          </cell>
          <cell r="C336">
            <v>40</v>
          </cell>
          <cell r="D336">
            <v>85</v>
          </cell>
          <cell r="E336">
            <v>5.0339999999999998</v>
          </cell>
        </row>
        <row r="337">
          <cell r="A337">
            <v>3482</v>
          </cell>
          <cell r="D337" t="str">
            <v>КФ</v>
          </cell>
        </row>
        <row r="338">
          <cell r="A338">
            <v>4774</v>
          </cell>
          <cell r="B338">
            <v>15</v>
          </cell>
          <cell r="C338">
            <v>35</v>
          </cell>
          <cell r="D338">
            <v>85</v>
          </cell>
          <cell r="E338">
            <v>4.4047499999999999</v>
          </cell>
        </row>
        <row r="339">
          <cell r="A339">
            <v>8361</v>
          </cell>
          <cell r="B339">
            <v>16</v>
          </cell>
          <cell r="C339">
            <v>125</v>
          </cell>
          <cell r="D339">
            <v>94</v>
          </cell>
          <cell r="E339">
            <v>6.2925000000000004</v>
          </cell>
        </row>
        <row r="340">
          <cell r="A340">
            <v>9731</v>
          </cell>
          <cell r="B340">
            <v>15</v>
          </cell>
          <cell r="C340">
            <v>45</v>
          </cell>
          <cell r="D340">
            <v>90</v>
          </cell>
          <cell r="E340">
            <v>3.7755000000000001</v>
          </cell>
        </row>
        <row r="341">
          <cell r="A341">
            <v>7958</v>
          </cell>
          <cell r="B341" t="str">
            <v>15/16</v>
          </cell>
          <cell r="C341">
            <v>35</v>
          </cell>
          <cell r="D341">
            <v>92</v>
          </cell>
          <cell r="E341">
            <v>2.3491999999999997</v>
          </cell>
        </row>
        <row r="342">
          <cell r="A342">
            <v>4776</v>
          </cell>
          <cell r="D342" t="str">
            <v>КФ</v>
          </cell>
        </row>
        <row r="343">
          <cell r="A343">
            <v>5292</v>
          </cell>
          <cell r="B343">
            <v>14</v>
          </cell>
          <cell r="C343">
            <v>30</v>
          </cell>
          <cell r="D343">
            <v>92</v>
          </cell>
          <cell r="E343">
            <v>2.0135999999999998</v>
          </cell>
        </row>
        <row r="344">
          <cell r="A344">
            <v>2118</v>
          </cell>
          <cell r="B344">
            <v>13</v>
          </cell>
          <cell r="C344">
            <v>70</v>
          </cell>
          <cell r="D344">
            <v>94</v>
          </cell>
          <cell r="E344">
            <v>3.5238</v>
          </cell>
        </row>
        <row r="345">
          <cell r="A345">
            <v>8638</v>
          </cell>
          <cell r="B345">
            <v>15</v>
          </cell>
          <cell r="C345">
            <v>40</v>
          </cell>
          <cell r="D345">
            <v>90</v>
          </cell>
          <cell r="E345">
            <v>3.3559999999999999</v>
          </cell>
        </row>
        <row r="346">
          <cell r="A346">
            <v>9641</v>
          </cell>
          <cell r="B346">
            <v>14</v>
          </cell>
          <cell r="C346">
            <v>40</v>
          </cell>
          <cell r="D346">
            <v>85</v>
          </cell>
          <cell r="E346">
            <v>5.0339999999999998</v>
          </cell>
        </row>
        <row r="347">
          <cell r="A347">
            <v>4857</v>
          </cell>
          <cell r="B347">
            <v>14</v>
          </cell>
          <cell r="C347">
            <v>70</v>
          </cell>
          <cell r="D347">
            <v>93</v>
          </cell>
          <cell r="E347">
            <v>4.1110999999999995</v>
          </cell>
        </row>
        <row r="348">
          <cell r="A348">
            <v>5672</v>
          </cell>
          <cell r="B348">
            <v>15</v>
          </cell>
          <cell r="C348">
            <v>30</v>
          </cell>
          <cell r="D348">
            <v>92</v>
          </cell>
          <cell r="E348">
            <v>2.0135999999999998</v>
          </cell>
        </row>
        <row r="349">
          <cell r="A349" t="str">
            <v>ОЗНА-Импульс</v>
          </cell>
          <cell r="C349">
            <v>655</v>
          </cell>
          <cell r="E349">
            <v>51.137049999999995</v>
          </cell>
        </row>
        <row r="350">
          <cell r="A350">
            <v>7482</v>
          </cell>
          <cell r="B350">
            <v>15</v>
          </cell>
          <cell r="C350">
            <v>5</v>
          </cell>
          <cell r="D350">
            <v>80</v>
          </cell>
          <cell r="E350">
            <v>0.83899999999999997</v>
          </cell>
        </row>
        <row r="351">
          <cell r="A351">
            <v>5719</v>
          </cell>
          <cell r="B351">
            <v>14</v>
          </cell>
          <cell r="C351">
            <v>50</v>
          </cell>
          <cell r="D351">
            <v>90</v>
          </cell>
          <cell r="E351">
            <v>4.1950000000000003</v>
          </cell>
        </row>
        <row r="352">
          <cell r="A352">
            <v>8235</v>
          </cell>
          <cell r="B352">
            <v>14</v>
          </cell>
          <cell r="C352">
            <v>10</v>
          </cell>
          <cell r="D352">
            <v>50</v>
          </cell>
          <cell r="E352">
            <v>4.1950000000000003</v>
          </cell>
        </row>
        <row r="353">
          <cell r="A353">
            <v>2119</v>
          </cell>
          <cell r="B353">
            <v>13</v>
          </cell>
          <cell r="C353">
            <v>35</v>
          </cell>
          <cell r="D353">
            <v>93</v>
          </cell>
          <cell r="E353">
            <v>2.0555499999999998</v>
          </cell>
        </row>
        <row r="354">
          <cell r="A354">
            <v>7546</v>
          </cell>
          <cell r="B354">
            <v>13</v>
          </cell>
          <cell r="C354">
            <v>40</v>
          </cell>
          <cell r="D354">
            <v>93</v>
          </cell>
          <cell r="E354">
            <v>2.3491999999999997</v>
          </cell>
        </row>
        <row r="355">
          <cell r="A355">
            <v>8236</v>
          </cell>
          <cell r="B355">
            <v>13</v>
          </cell>
          <cell r="C355">
            <v>60</v>
          </cell>
          <cell r="D355">
            <v>92</v>
          </cell>
          <cell r="E355">
            <v>4.0271999999999997</v>
          </cell>
        </row>
        <row r="356">
          <cell r="A356">
            <v>4684</v>
          </cell>
          <cell r="D356" t="str">
            <v>к/ф</v>
          </cell>
        </row>
        <row r="357">
          <cell r="A357">
            <v>4282</v>
          </cell>
          <cell r="B357">
            <v>14</v>
          </cell>
          <cell r="C357">
            <v>35</v>
          </cell>
          <cell r="D357">
            <v>90</v>
          </cell>
          <cell r="E357">
            <v>2.9364999999999997</v>
          </cell>
        </row>
        <row r="358">
          <cell r="A358">
            <v>8242</v>
          </cell>
          <cell r="B358">
            <v>13</v>
          </cell>
          <cell r="C358">
            <v>55</v>
          </cell>
          <cell r="D358">
            <v>94</v>
          </cell>
          <cell r="E358">
            <v>2.7686999999999999</v>
          </cell>
        </row>
        <row r="359">
          <cell r="A359">
            <v>4850</v>
          </cell>
          <cell r="B359">
            <v>14</v>
          </cell>
          <cell r="C359">
            <v>35</v>
          </cell>
          <cell r="D359">
            <v>85</v>
          </cell>
          <cell r="E359">
            <v>4.4047499999999999</v>
          </cell>
        </row>
        <row r="360">
          <cell r="A360">
            <v>8938</v>
          </cell>
          <cell r="B360">
            <v>13</v>
          </cell>
          <cell r="C360">
            <v>70</v>
          </cell>
          <cell r="D360">
            <v>93</v>
          </cell>
          <cell r="E360">
            <v>4.1110999999999995</v>
          </cell>
        </row>
        <row r="361">
          <cell r="A361">
            <v>8243</v>
          </cell>
          <cell r="B361">
            <v>14</v>
          </cell>
          <cell r="C361">
            <v>35</v>
          </cell>
          <cell r="D361">
            <v>90</v>
          </cell>
          <cell r="E361">
            <v>2.9364999999999997</v>
          </cell>
        </row>
        <row r="362">
          <cell r="A362">
            <v>9687</v>
          </cell>
          <cell r="B362">
            <v>15</v>
          </cell>
          <cell r="C362">
            <v>40</v>
          </cell>
          <cell r="D362">
            <v>92</v>
          </cell>
          <cell r="E362">
            <v>2.6848000000000001</v>
          </cell>
        </row>
        <row r="363">
          <cell r="A363" t="str">
            <v>ОЗНА-Импульс</v>
          </cell>
          <cell r="C363">
            <v>470</v>
          </cell>
          <cell r="E363">
            <v>37.503300000000003</v>
          </cell>
        </row>
        <row r="364">
          <cell r="A364">
            <v>4615</v>
          </cell>
          <cell r="B364">
            <v>13</v>
          </cell>
          <cell r="C364">
            <v>25</v>
          </cell>
          <cell r="D364">
            <v>75</v>
          </cell>
          <cell r="E364">
            <v>5.2437500000000004</v>
          </cell>
        </row>
        <row r="365">
          <cell r="A365">
            <v>6858</v>
          </cell>
          <cell r="B365">
            <v>13</v>
          </cell>
          <cell r="C365">
            <v>40</v>
          </cell>
          <cell r="D365">
            <v>80</v>
          </cell>
          <cell r="E365">
            <v>6.7119999999999997</v>
          </cell>
        </row>
        <row r="366">
          <cell r="A366">
            <v>2123</v>
          </cell>
          <cell r="B366">
            <v>14</v>
          </cell>
          <cell r="C366">
            <v>45</v>
          </cell>
          <cell r="D366">
            <v>92</v>
          </cell>
          <cell r="E366">
            <v>3.0203999999999995</v>
          </cell>
        </row>
        <row r="367">
          <cell r="A367">
            <v>2952</v>
          </cell>
          <cell r="B367">
            <v>13</v>
          </cell>
          <cell r="C367">
            <v>50</v>
          </cell>
          <cell r="D367">
            <v>93</v>
          </cell>
          <cell r="E367">
            <v>2.9364999999999997</v>
          </cell>
        </row>
        <row r="368">
          <cell r="A368">
            <v>547</v>
          </cell>
          <cell r="B368">
            <v>13</v>
          </cell>
          <cell r="C368">
            <v>30</v>
          </cell>
          <cell r="D368">
            <v>95</v>
          </cell>
          <cell r="E368">
            <v>1.2585</v>
          </cell>
        </row>
        <row r="369">
          <cell r="A369">
            <v>4609</v>
          </cell>
          <cell r="B369">
            <v>13</v>
          </cell>
          <cell r="C369">
            <v>30</v>
          </cell>
          <cell r="D369">
            <v>65</v>
          </cell>
          <cell r="E369">
            <v>8.8094999999999999</v>
          </cell>
        </row>
        <row r="370">
          <cell r="A370">
            <v>8940</v>
          </cell>
          <cell r="B370">
            <v>13</v>
          </cell>
          <cell r="C370">
            <v>55</v>
          </cell>
          <cell r="D370">
            <v>94</v>
          </cell>
          <cell r="E370">
            <v>2.7686999999999999</v>
          </cell>
        </row>
        <row r="371">
          <cell r="A371">
            <v>1194</v>
          </cell>
          <cell r="B371">
            <v>13</v>
          </cell>
          <cell r="C371">
            <v>35</v>
          </cell>
          <cell r="D371">
            <v>95</v>
          </cell>
          <cell r="E371">
            <v>1.4682499999999998</v>
          </cell>
        </row>
        <row r="372">
          <cell r="A372">
            <v>8529</v>
          </cell>
          <cell r="B372">
            <v>16</v>
          </cell>
          <cell r="C372">
            <v>30</v>
          </cell>
          <cell r="D372">
            <v>50</v>
          </cell>
          <cell r="E372">
            <v>12.585000000000001</v>
          </cell>
        </row>
        <row r="373">
          <cell r="A373" t="str">
            <v>ОЗНА-Импульс</v>
          </cell>
          <cell r="C373">
            <v>340</v>
          </cell>
          <cell r="E373">
            <v>44.802599999999998</v>
          </cell>
        </row>
        <row r="374">
          <cell r="A374">
            <v>8347</v>
          </cell>
          <cell r="B374">
            <v>14</v>
          </cell>
          <cell r="C374">
            <v>30</v>
          </cell>
          <cell r="D374">
            <v>60</v>
          </cell>
          <cell r="E374">
            <v>10.068</v>
          </cell>
        </row>
        <row r="375">
          <cell r="A375">
            <v>6863</v>
          </cell>
          <cell r="B375">
            <v>13</v>
          </cell>
          <cell r="C375">
            <v>50</v>
          </cell>
          <cell r="D375">
            <v>90</v>
          </cell>
          <cell r="E375">
            <v>4.1950000000000003</v>
          </cell>
        </row>
        <row r="376">
          <cell r="A376">
            <v>1193</v>
          </cell>
          <cell r="B376">
            <v>13</v>
          </cell>
          <cell r="C376">
            <v>60</v>
          </cell>
          <cell r="D376">
            <v>92</v>
          </cell>
          <cell r="E376">
            <v>4.0271999999999997</v>
          </cell>
        </row>
        <row r="377">
          <cell r="A377">
            <v>9437</v>
          </cell>
          <cell r="B377">
            <v>13</v>
          </cell>
          <cell r="C377">
            <v>40</v>
          </cell>
          <cell r="D377">
            <v>90</v>
          </cell>
          <cell r="E377">
            <v>3.3559999999999999</v>
          </cell>
        </row>
        <row r="378">
          <cell r="A378">
            <v>9684</v>
          </cell>
          <cell r="B378">
            <v>14</v>
          </cell>
          <cell r="C378">
            <v>25</v>
          </cell>
          <cell r="D378">
            <v>60</v>
          </cell>
          <cell r="E378">
            <v>8.39</v>
          </cell>
        </row>
        <row r="379">
          <cell r="A379">
            <v>9810</v>
          </cell>
          <cell r="B379">
            <v>14</v>
          </cell>
          <cell r="C379">
            <v>40</v>
          </cell>
          <cell r="D379">
            <v>60</v>
          </cell>
          <cell r="E379">
            <v>13.423999999999999</v>
          </cell>
        </row>
        <row r="380">
          <cell r="A380">
            <v>826</v>
          </cell>
          <cell r="D380" t="str">
            <v>ФЛС</v>
          </cell>
        </row>
        <row r="381">
          <cell r="A381">
            <v>7049</v>
          </cell>
          <cell r="D381" t="str">
            <v>КФ</v>
          </cell>
        </row>
        <row r="382">
          <cell r="A382">
            <v>6084</v>
          </cell>
          <cell r="B382">
            <v>14</v>
          </cell>
          <cell r="C382">
            <v>20</v>
          </cell>
          <cell r="D382">
            <v>90</v>
          </cell>
          <cell r="E382">
            <v>1.6779999999999999</v>
          </cell>
        </row>
        <row r="383">
          <cell r="A383">
            <v>5602</v>
          </cell>
          <cell r="B383">
            <v>15</v>
          </cell>
          <cell r="C383">
            <v>60</v>
          </cell>
          <cell r="D383">
            <v>50</v>
          </cell>
          <cell r="E383">
            <v>25.17</v>
          </cell>
        </row>
        <row r="384">
          <cell r="A384">
            <v>6443</v>
          </cell>
          <cell r="B384">
            <v>14</v>
          </cell>
          <cell r="C384">
            <v>25</v>
          </cell>
          <cell r="D384">
            <v>70</v>
          </cell>
          <cell r="E384">
            <v>6.2925000000000004</v>
          </cell>
        </row>
        <row r="385">
          <cell r="A385">
            <v>5671</v>
          </cell>
          <cell r="B385">
            <v>14</v>
          </cell>
          <cell r="C385">
            <v>55</v>
          </cell>
          <cell r="D385">
            <v>92</v>
          </cell>
          <cell r="E385">
            <v>3.6915999999999998</v>
          </cell>
        </row>
        <row r="386">
          <cell r="A386" t="str">
            <v>ОЗНА-Импульс</v>
          </cell>
          <cell r="C386">
            <v>405</v>
          </cell>
          <cell r="E386">
            <v>80.292299999999997</v>
          </cell>
        </row>
        <row r="387">
          <cell r="A387">
            <v>8250</v>
          </cell>
          <cell r="B387">
            <v>14</v>
          </cell>
          <cell r="C387">
            <v>20</v>
          </cell>
          <cell r="D387">
            <v>55</v>
          </cell>
          <cell r="E387">
            <v>7.5510000000000002</v>
          </cell>
        </row>
        <row r="390">
          <cell r="A390">
            <v>7504</v>
          </cell>
          <cell r="B390">
            <v>13</v>
          </cell>
          <cell r="C390">
            <v>15</v>
          </cell>
          <cell r="D390">
            <v>85</v>
          </cell>
          <cell r="E390">
            <v>1.88775</v>
          </cell>
        </row>
        <row r="393">
          <cell r="A393">
            <v>3834</v>
          </cell>
          <cell r="B393">
            <v>14</v>
          </cell>
          <cell r="C393">
            <v>25</v>
          </cell>
          <cell r="D393">
            <v>65</v>
          </cell>
          <cell r="E393">
            <v>7.3412499999999996</v>
          </cell>
        </row>
        <row r="396">
          <cell r="A396">
            <v>9811</v>
          </cell>
          <cell r="B396">
            <v>13</v>
          </cell>
          <cell r="C396">
            <v>20</v>
          </cell>
          <cell r="D396">
            <v>65</v>
          </cell>
          <cell r="E396">
            <v>5.8729999999999993</v>
          </cell>
        </row>
        <row r="399">
          <cell r="A399">
            <v>9686</v>
          </cell>
          <cell r="B399">
            <v>14</v>
          </cell>
          <cell r="C399">
            <v>60</v>
          </cell>
          <cell r="D399">
            <v>85</v>
          </cell>
          <cell r="E399">
            <v>7.5510000000000002</v>
          </cell>
        </row>
        <row r="402">
          <cell r="A402">
            <v>8346</v>
          </cell>
          <cell r="B402">
            <v>14</v>
          </cell>
          <cell r="C402">
            <v>35</v>
          </cell>
          <cell r="D402">
            <v>60</v>
          </cell>
          <cell r="E402">
            <v>11.745999999999999</v>
          </cell>
        </row>
        <row r="405">
          <cell r="A405">
            <v>9796</v>
          </cell>
          <cell r="B405">
            <v>15</v>
          </cell>
          <cell r="C405">
            <v>25</v>
          </cell>
          <cell r="D405">
            <v>75</v>
          </cell>
          <cell r="E405">
            <v>5.2437500000000004</v>
          </cell>
        </row>
        <row r="408">
          <cell r="A408">
            <v>6604</v>
          </cell>
          <cell r="B408">
            <v>14</v>
          </cell>
          <cell r="C408">
            <v>30</v>
          </cell>
          <cell r="D408">
            <v>85</v>
          </cell>
          <cell r="E408">
            <v>3.7755000000000001</v>
          </cell>
        </row>
        <row r="411">
          <cell r="A411">
            <v>9685</v>
          </cell>
          <cell r="B411">
            <v>14</v>
          </cell>
          <cell r="C411">
            <v>95</v>
          </cell>
          <cell r="D411">
            <v>92</v>
          </cell>
          <cell r="E411">
            <v>6.3764000000000003</v>
          </cell>
        </row>
        <row r="414">
          <cell r="A414">
            <v>6865</v>
          </cell>
          <cell r="B414">
            <v>13</v>
          </cell>
          <cell r="C414">
            <v>55</v>
          </cell>
          <cell r="D414">
            <v>93</v>
          </cell>
          <cell r="E414">
            <v>3.2301500000000001</v>
          </cell>
        </row>
        <row r="417">
          <cell r="A417">
            <v>7968</v>
          </cell>
          <cell r="B417">
            <v>15</v>
          </cell>
          <cell r="C417">
            <v>50</v>
          </cell>
          <cell r="D417">
            <v>85</v>
          </cell>
          <cell r="E417">
            <v>6.2925000000000004</v>
          </cell>
        </row>
        <row r="420">
          <cell r="A420">
            <v>3833</v>
          </cell>
          <cell r="B420">
            <v>15</v>
          </cell>
          <cell r="C420">
            <v>25</v>
          </cell>
          <cell r="D420">
            <v>80</v>
          </cell>
          <cell r="E420">
            <v>4.1950000000000003</v>
          </cell>
        </row>
        <row r="423">
          <cell r="A423">
            <v>6315</v>
          </cell>
          <cell r="B423">
            <v>15</v>
          </cell>
          <cell r="C423">
            <v>30</v>
          </cell>
          <cell r="D423">
            <v>75</v>
          </cell>
          <cell r="E423">
            <v>6.2925000000000004</v>
          </cell>
        </row>
        <row r="426">
          <cell r="A426">
            <v>2590</v>
          </cell>
          <cell r="B426">
            <v>15</v>
          </cell>
          <cell r="C426">
            <v>30</v>
          </cell>
          <cell r="D426">
            <v>70</v>
          </cell>
          <cell r="E426">
            <v>7.5510000000000002</v>
          </cell>
        </row>
        <row r="429">
          <cell r="A429" t="str">
            <v>АГЗУ-Поток</v>
          </cell>
          <cell r="C429">
            <v>515</v>
          </cell>
          <cell r="E429">
            <v>84.906800000000004</v>
          </cell>
        </row>
        <row r="430">
          <cell r="A430">
            <v>7510</v>
          </cell>
          <cell r="B430">
            <v>13</v>
          </cell>
          <cell r="C430">
            <v>25</v>
          </cell>
          <cell r="D430">
            <v>60</v>
          </cell>
          <cell r="E430">
            <v>8.39</v>
          </cell>
        </row>
        <row r="431">
          <cell r="A431">
            <v>8237</v>
          </cell>
          <cell r="B431">
            <v>13</v>
          </cell>
          <cell r="C431">
            <v>15</v>
          </cell>
          <cell r="D431">
            <v>55</v>
          </cell>
          <cell r="E431">
            <v>5.6632499999999997</v>
          </cell>
        </row>
        <row r="432">
          <cell r="A432">
            <v>9456</v>
          </cell>
          <cell r="B432">
            <v>13</v>
          </cell>
          <cell r="C432">
            <v>45</v>
          </cell>
          <cell r="D432">
            <v>85</v>
          </cell>
          <cell r="E432">
            <v>5.6632499999999997</v>
          </cell>
        </row>
        <row r="433">
          <cell r="A433">
            <v>7709</v>
          </cell>
          <cell r="B433">
            <v>13</v>
          </cell>
          <cell r="C433">
            <v>40</v>
          </cell>
          <cell r="D433">
            <v>93</v>
          </cell>
          <cell r="E433">
            <v>2.3491999999999997</v>
          </cell>
        </row>
        <row r="434">
          <cell r="A434">
            <v>8238</v>
          </cell>
          <cell r="B434">
            <v>13</v>
          </cell>
          <cell r="C434">
            <v>25</v>
          </cell>
          <cell r="D434">
            <v>70</v>
          </cell>
          <cell r="E434">
            <v>6.2925000000000004</v>
          </cell>
        </row>
        <row r="435">
          <cell r="A435">
            <v>8239</v>
          </cell>
          <cell r="B435">
            <v>13</v>
          </cell>
          <cell r="C435">
            <v>25</v>
          </cell>
          <cell r="D435">
            <v>75</v>
          </cell>
          <cell r="E435">
            <v>5.2437500000000004</v>
          </cell>
        </row>
        <row r="436">
          <cell r="A436">
            <v>7509</v>
          </cell>
          <cell r="B436">
            <v>13</v>
          </cell>
          <cell r="C436">
            <v>65</v>
          </cell>
          <cell r="D436">
            <v>95</v>
          </cell>
          <cell r="E436">
            <v>2.72675</v>
          </cell>
        </row>
        <row r="437">
          <cell r="A437">
            <v>8245</v>
          </cell>
          <cell r="B437">
            <v>13</v>
          </cell>
          <cell r="C437">
            <v>25</v>
          </cell>
          <cell r="D437">
            <v>93</v>
          </cell>
          <cell r="E437">
            <v>1.4682499999999998</v>
          </cell>
        </row>
        <row r="438">
          <cell r="A438">
            <v>6862</v>
          </cell>
          <cell r="B438">
            <v>13</v>
          </cell>
          <cell r="C438">
            <v>55</v>
          </cell>
          <cell r="D438">
            <v>90</v>
          </cell>
          <cell r="E438">
            <v>4.6144999999999996</v>
          </cell>
        </row>
        <row r="439">
          <cell r="A439">
            <v>7155</v>
          </cell>
          <cell r="B439">
            <v>13</v>
          </cell>
          <cell r="C439">
            <v>20</v>
          </cell>
          <cell r="D439">
            <v>75</v>
          </cell>
          <cell r="E439">
            <v>4.1950000000000003</v>
          </cell>
        </row>
        <row r="440">
          <cell r="A440">
            <v>8086</v>
          </cell>
          <cell r="B440">
            <v>13</v>
          </cell>
          <cell r="C440">
            <v>25</v>
          </cell>
          <cell r="D440">
            <v>70</v>
          </cell>
          <cell r="E440">
            <v>6.2925000000000004</v>
          </cell>
        </row>
        <row r="441">
          <cell r="A441" t="str">
            <v>КЗНО</v>
          </cell>
          <cell r="C441">
            <v>365</v>
          </cell>
          <cell r="E441">
            <v>52.898949999999999</v>
          </cell>
        </row>
        <row r="442">
          <cell r="C442">
            <v>2750</v>
          </cell>
          <cell r="E442">
            <v>351.54100000000005</v>
          </cell>
        </row>
        <row r="443">
          <cell r="C443">
            <v>12245</v>
          </cell>
          <cell r="E443">
            <v>1441.0324000000001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ут.рап гу-1"/>
      <sheetName val="гу-1  "/>
      <sheetName val="сут.рап-1.пс-4"/>
      <sheetName val="пс-4"/>
      <sheetName val="сут.рап-8"/>
      <sheetName val="ГУ-8"/>
      <sheetName val="сут.рап-12"/>
      <sheetName val="ГУ-12"/>
      <sheetName val="сут.рап-13"/>
      <sheetName val="ГУ-13"/>
      <sheetName val="сут.рап-93"/>
      <sheetName val="ГУ-93"/>
      <sheetName val="сут.рап-60"/>
      <sheetName val="ГУ-60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гор</v>
          </cell>
          <cell r="C2" t="str">
            <v xml:space="preserve">     РЕЖИМ</v>
          </cell>
        </row>
        <row r="4">
          <cell r="D4" t="str">
            <v>%</v>
          </cell>
          <cell r="E4" t="str">
            <v>Qн</v>
          </cell>
        </row>
        <row r="5">
          <cell r="A5">
            <v>7042</v>
          </cell>
          <cell r="B5">
            <v>14</v>
          </cell>
          <cell r="C5">
            <v>70</v>
          </cell>
          <cell r="D5">
            <v>96</v>
          </cell>
          <cell r="E5">
            <v>2.3491999999999997</v>
          </cell>
        </row>
        <row r="6">
          <cell r="A6">
            <v>6621</v>
          </cell>
          <cell r="B6">
            <v>14</v>
          </cell>
          <cell r="C6">
            <v>30</v>
          </cell>
          <cell r="D6">
            <v>75</v>
          </cell>
          <cell r="E6">
            <v>6.2925000000000004</v>
          </cell>
        </row>
        <row r="7">
          <cell r="A7">
            <v>1986</v>
          </cell>
          <cell r="B7">
            <v>14</v>
          </cell>
          <cell r="C7">
            <v>50</v>
          </cell>
          <cell r="D7">
            <v>85</v>
          </cell>
          <cell r="E7">
            <v>6.2925000000000004</v>
          </cell>
        </row>
        <row r="8">
          <cell r="A8">
            <v>6820</v>
          </cell>
          <cell r="B8">
            <v>13</v>
          </cell>
          <cell r="C8">
            <v>30</v>
          </cell>
          <cell r="D8">
            <v>90</v>
          </cell>
          <cell r="E8">
            <v>2.5169999999999999</v>
          </cell>
        </row>
        <row r="9">
          <cell r="A9">
            <v>3456</v>
          </cell>
          <cell r="B9">
            <v>15</v>
          </cell>
          <cell r="C9">
            <v>30</v>
          </cell>
          <cell r="D9">
            <v>30</v>
          </cell>
          <cell r="E9">
            <v>17.619</v>
          </cell>
        </row>
        <row r="10">
          <cell r="A10">
            <v>7399</v>
          </cell>
          <cell r="B10">
            <v>13</v>
          </cell>
          <cell r="C10">
            <v>25</v>
          </cell>
          <cell r="D10">
            <v>95</v>
          </cell>
          <cell r="E10">
            <v>1.0487500000000001</v>
          </cell>
        </row>
        <row r="11">
          <cell r="A11">
            <v>6619</v>
          </cell>
          <cell r="B11">
            <v>13</v>
          </cell>
          <cell r="C11">
            <v>45</v>
          </cell>
          <cell r="D11">
            <v>80</v>
          </cell>
          <cell r="E11">
            <v>7.5510000000000002</v>
          </cell>
        </row>
        <row r="12">
          <cell r="A12">
            <v>6</v>
          </cell>
          <cell r="B12">
            <v>14</v>
          </cell>
          <cell r="C12">
            <v>40</v>
          </cell>
          <cell r="D12">
            <v>90</v>
          </cell>
          <cell r="E12">
            <v>3.3559999999999999</v>
          </cell>
        </row>
        <row r="13">
          <cell r="A13">
            <v>3453</v>
          </cell>
          <cell r="B13">
            <v>14</v>
          </cell>
          <cell r="C13">
            <v>10</v>
          </cell>
          <cell r="D13">
            <v>35</v>
          </cell>
          <cell r="E13">
            <v>5.4535</v>
          </cell>
        </row>
        <row r="14">
          <cell r="A14">
            <v>3478</v>
          </cell>
          <cell r="B14">
            <v>15</v>
          </cell>
          <cell r="C14">
            <v>30</v>
          </cell>
          <cell r="D14">
            <v>90</v>
          </cell>
          <cell r="E14">
            <v>2.5169999999999999</v>
          </cell>
        </row>
        <row r="15">
          <cell r="A15">
            <v>2097</v>
          </cell>
          <cell r="B15">
            <v>14</v>
          </cell>
          <cell r="C15">
            <v>60</v>
          </cell>
          <cell r="D15">
            <v>95</v>
          </cell>
          <cell r="E15">
            <v>2.5169999999999999</v>
          </cell>
        </row>
        <row r="16">
          <cell r="A16">
            <v>6614</v>
          </cell>
          <cell r="B16">
            <v>13</v>
          </cell>
          <cell r="C16">
            <v>20</v>
          </cell>
          <cell r="D16">
            <v>50</v>
          </cell>
          <cell r="E16">
            <v>8.39</v>
          </cell>
        </row>
        <row r="17">
          <cell r="A17">
            <v>3455</v>
          </cell>
          <cell r="B17">
            <v>14</v>
          </cell>
          <cell r="C17">
            <v>10</v>
          </cell>
          <cell r="D17">
            <v>60</v>
          </cell>
          <cell r="E17">
            <v>3.3559999999999999</v>
          </cell>
        </row>
        <row r="18">
          <cell r="A18">
            <v>4771</v>
          </cell>
          <cell r="B18">
            <v>14</v>
          </cell>
          <cell r="C18">
            <v>40</v>
          </cell>
          <cell r="D18">
            <v>90</v>
          </cell>
          <cell r="E18">
            <v>3.3559999999999999</v>
          </cell>
        </row>
        <row r="19">
          <cell r="A19">
            <v>4702</v>
          </cell>
          <cell r="B19">
            <v>15</v>
          </cell>
          <cell r="C19">
            <v>25</v>
          </cell>
          <cell r="D19">
            <v>70</v>
          </cell>
          <cell r="E19">
            <v>6.2925000000000004</v>
          </cell>
        </row>
        <row r="20">
          <cell r="C20">
            <v>515</v>
          </cell>
          <cell r="E20">
            <v>78.90795</v>
          </cell>
        </row>
        <row r="21">
          <cell r="A21">
            <v>7809</v>
          </cell>
          <cell r="B21">
            <v>13</v>
          </cell>
          <cell r="C21">
            <v>45</v>
          </cell>
          <cell r="D21">
            <v>80</v>
          </cell>
          <cell r="E21">
            <v>7.5510000000000002</v>
          </cell>
        </row>
        <row r="22">
          <cell r="A22">
            <v>5659</v>
          </cell>
          <cell r="B22">
            <v>15</v>
          </cell>
          <cell r="C22">
            <v>30</v>
          </cell>
          <cell r="D22">
            <v>60</v>
          </cell>
          <cell r="E22">
            <v>10.068</v>
          </cell>
        </row>
        <row r="23">
          <cell r="A23">
            <v>3176</v>
          </cell>
          <cell r="B23">
            <v>16</v>
          </cell>
          <cell r="C23">
            <v>90</v>
          </cell>
          <cell r="D23">
            <v>98</v>
          </cell>
          <cell r="E23">
            <v>1.5101999999999998</v>
          </cell>
        </row>
        <row r="24">
          <cell r="A24">
            <v>7807</v>
          </cell>
          <cell r="B24">
            <v>13</v>
          </cell>
          <cell r="C24">
            <v>15</v>
          </cell>
          <cell r="D24">
            <v>60</v>
          </cell>
          <cell r="E24">
            <v>5.0339999999999998</v>
          </cell>
        </row>
        <row r="25">
          <cell r="C25">
            <v>180</v>
          </cell>
          <cell r="E25">
            <v>24.1632</v>
          </cell>
        </row>
        <row r="26">
          <cell r="A26">
            <v>5864</v>
          </cell>
          <cell r="B26">
            <v>15</v>
          </cell>
          <cell r="C26">
            <v>25</v>
          </cell>
          <cell r="D26">
            <v>65</v>
          </cell>
          <cell r="E26">
            <v>7.3412499999999996</v>
          </cell>
        </row>
        <row r="27">
          <cell r="A27">
            <v>5771</v>
          </cell>
          <cell r="B27">
            <v>13</v>
          </cell>
          <cell r="C27">
            <v>10</v>
          </cell>
          <cell r="D27">
            <v>70</v>
          </cell>
          <cell r="E27">
            <v>2.5169999999999999</v>
          </cell>
        </row>
        <row r="28">
          <cell r="A28">
            <v>3139</v>
          </cell>
          <cell r="B28">
            <v>15</v>
          </cell>
          <cell r="C28">
            <v>120</v>
          </cell>
          <cell r="D28">
            <v>95</v>
          </cell>
          <cell r="E28">
            <v>5.0339999999999998</v>
          </cell>
        </row>
        <row r="29">
          <cell r="A29">
            <v>7808</v>
          </cell>
          <cell r="B29">
            <v>13</v>
          </cell>
          <cell r="C29">
            <v>15</v>
          </cell>
          <cell r="D29">
            <v>60</v>
          </cell>
          <cell r="E29">
            <v>5.0339999999999998</v>
          </cell>
        </row>
        <row r="30">
          <cell r="A30">
            <v>488</v>
          </cell>
          <cell r="B30">
            <v>15</v>
          </cell>
          <cell r="C30">
            <v>20</v>
          </cell>
          <cell r="D30">
            <v>80</v>
          </cell>
          <cell r="E30">
            <v>3.3559999999999999</v>
          </cell>
        </row>
        <row r="31">
          <cell r="A31">
            <v>3454</v>
          </cell>
          <cell r="B31">
            <v>15</v>
          </cell>
          <cell r="C31">
            <v>20</v>
          </cell>
          <cell r="D31">
            <v>80</v>
          </cell>
          <cell r="E31">
            <v>3.3559999999999999</v>
          </cell>
        </row>
        <row r="32">
          <cell r="A32">
            <v>8620</v>
          </cell>
          <cell r="B32">
            <v>13</v>
          </cell>
          <cell r="C32">
            <v>15</v>
          </cell>
          <cell r="D32">
            <v>40</v>
          </cell>
          <cell r="E32">
            <v>7.5510000000000002</v>
          </cell>
        </row>
        <row r="33">
          <cell r="A33">
            <v>1717</v>
          </cell>
          <cell r="B33" t="str">
            <v>13/14</v>
          </cell>
          <cell r="C33">
            <v>80</v>
          </cell>
          <cell r="D33">
            <v>95</v>
          </cell>
          <cell r="E33">
            <v>3.3559999999999999</v>
          </cell>
        </row>
        <row r="34">
          <cell r="A34">
            <v>5772</v>
          </cell>
          <cell r="B34">
            <v>15</v>
          </cell>
          <cell r="C34">
            <v>30</v>
          </cell>
          <cell r="D34">
            <v>90</v>
          </cell>
          <cell r="E34">
            <v>2.5169999999999999</v>
          </cell>
        </row>
        <row r="35">
          <cell r="A35">
            <v>2486</v>
          </cell>
          <cell r="B35">
            <v>14</v>
          </cell>
          <cell r="C35">
            <v>30</v>
          </cell>
          <cell r="D35">
            <v>80</v>
          </cell>
          <cell r="E35">
            <v>5.0339999999999998</v>
          </cell>
        </row>
        <row r="36">
          <cell r="A36">
            <v>5591</v>
          </cell>
          <cell r="B36">
            <v>15</v>
          </cell>
          <cell r="C36">
            <v>20</v>
          </cell>
          <cell r="D36">
            <v>85</v>
          </cell>
          <cell r="E36">
            <v>2.5169999999999999</v>
          </cell>
        </row>
        <row r="37">
          <cell r="A37">
            <v>5707</v>
          </cell>
          <cell r="B37">
            <v>13</v>
          </cell>
          <cell r="C37">
            <v>20</v>
          </cell>
          <cell r="D37">
            <v>60</v>
          </cell>
          <cell r="E37">
            <v>6.7119999999999997</v>
          </cell>
        </row>
        <row r="38">
          <cell r="C38">
            <v>405</v>
          </cell>
          <cell r="E38">
            <v>54.325250000000011</v>
          </cell>
        </row>
        <row r="39">
          <cell r="A39">
            <v>7271</v>
          </cell>
          <cell r="B39">
            <v>14</v>
          </cell>
          <cell r="C39">
            <v>100</v>
          </cell>
          <cell r="D39">
            <v>85</v>
          </cell>
          <cell r="E39">
            <v>12.585000000000001</v>
          </cell>
        </row>
        <row r="40">
          <cell r="A40">
            <v>512</v>
          </cell>
          <cell r="B40">
            <v>15</v>
          </cell>
          <cell r="C40">
            <v>40</v>
          </cell>
          <cell r="D40">
            <v>80</v>
          </cell>
          <cell r="E40">
            <v>6.7119999999999997</v>
          </cell>
        </row>
        <row r="41">
          <cell r="A41">
            <v>3919</v>
          </cell>
          <cell r="B41">
            <v>13</v>
          </cell>
          <cell r="C41">
            <v>40</v>
          </cell>
          <cell r="D41">
            <v>45</v>
          </cell>
          <cell r="E41">
            <v>18.457999999999998</v>
          </cell>
        </row>
        <row r="42">
          <cell r="A42">
            <v>9073</v>
          </cell>
          <cell r="B42">
            <v>15</v>
          </cell>
          <cell r="C42">
            <v>80</v>
          </cell>
          <cell r="D42">
            <v>90</v>
          </cell>
          <cell r="E42">
            <v>6.7119999999999997</v>
          </cell>
        </row>
        <row r="43">
          <cell r="A43">
            <v>5866</v>
          </cell>
          <cell r="B43">
            <v>16</v>
          </cell>
          <cell r="C43">
            <v>35</v>
          </cell>
          <cell r="D43">
            <v>45</v>
          </cell>
          <cell r="E43">
            <v>16.150750000000002</v>
          </cell>
        </row>
        <row r="44">
          <cell r="A44">
            <v>9074</v>
          </cell>
          <cell r="B44">
            <v>15</v>
          </cell>
          <cell r="C44">
            <v>60</v>
          </cell>
          <cell r="D44">
            <v>90</v>
          </cell>
          <cell r="E44">
            <v>5.0339999999999998</v>
          </cell>
        </row>
        <row r="45">
          <cell r="A45">
            <v>2733</v>
          </cell>
          <cell r="B45">
            <v>13</v>
          </cell>
          <cell r="C45">
            <v>10</v>
          </cell>
          <cell r="D45">
            <v>50</v>
          </cell>
          <cell r="E45">
            <v>4.1950000000000003</v>
          </cell>
        </row>
        <row r="46">
          <cell r="A46">
            <v>513</v>
          </cell>
          <cell r="B46">
            <v>14</v>
          </cell>
          <cell r="C46">
            <v>40</v>
          </cell>
          <cell r="D46">
            <v>85</v>
          </cell>
          <cell r="E46">
            <v>5.0339999999999998</v>
          </cell>
        </row>
        <row r="47">
          <cell r="A47">
            <v>7928</v>
          </cell>
          <cell r="B47">
            <v>13</v>
          </cell>
          <cell r="C47">
            <v>45</v>
          </cell>
          <cell r="D47">
            <v>50</v>
          </cell>
          <cell r="E47">
            <v>18.877500000000001</v>
          </cell>
        </row>
        <row r="48">
          <cell r="A48">
            <v>3662</v>
          </cell>
          <cell r="B48">
            <v>13</v>
          </cell>
          <cell r="C48">
            <v>60</v>
          </cell>
          <cell r="D48">
            <v>90</v>
          </cell>
          <cell r="E48">
            <v>5.0339999999999998</v>
          </cell>
        </row>
        <row r="49">
          <cell r="A49">
            <v>5424</v>
          </cell>
          <cell r="B49">
            <v>14</v>
          </cell>
          <cell r="C49">
            <v>70</v>
          </cell>
          <cell r="D49">
            <v>95</v>
          </cell>
          <cell r="E49">
            <v>2.9364999999999997</v>
          </cell>
        </row>
        <row r="50">
          <cell r="A50">
            <v>2109</v>
          </cell>
          <cell r="B50">
            <v>13</v>
          </cell>
          <cell r="C50">
            <v>25</v>
          </cell>
          <cell r="D50">
            <v>40</v>
          </cell>
          <cell r="E50">
            <v>12.585000000000001</v>
          </cell>
        </row>
        <row r="51">
          <cell r="A51">
            <v>9331</v>
          </cell>
          <cell r="B51">
            <v>15</v>
          </cell>
          <cell r="C51">
            <v>60</v>
          </cell>
          <cell r="D51">
            <v>90</v>
          </cell>
          <cell r="E51">
            <v>5.0339999999999998</v>
          </cell>
        </row>
        <row r="52">
          <cell r="A52">
            <v>2913</v>
          </cell>
          <cell r="B52">
            <v>13</v>
          </cell>
          <cell r="C52">
            <v>25</v>
          </cell>
          <cell r="D52">
            <v>70</v>
          </cell>
          <cell r="E52">
            <v>6.2925000000000004</v>
          </cell>
        </row>
        <row r="53">
          <cell r="A53">
            <v>7927</v>
          </cell>
          <cell r="B53">
            <v>13</v>
          </cell>
          <cell r="C53">
            <v>40</v>
          </cell>
          <cell r="D53">
            <v>90</v>
          </cell>
          <cell r="E53">
            <v>3.3559999999999999</v>
          </cell>
        </row>
        <row r="54">
          <cell r="A54">
            <v>1179</v>
          </cell>
          <cell r="B54">
            <v>14</v>
          </cell>
          <cell r="C54">
            <v>125</v>
          </cell>
          <cell r="D54">
            <v>80</v>
          </cell>
          <cell r="E54">
            <v>20.975000000000001</v>
          </cell>
        </row>
        <row r="55">
          <cell r="A55">
            <v>2474</v>
          </cell>
          <cell r="B55">
            <v>14</v>
          </cell>
          <cell r="C55">
            <v>60</v>
          </cell>
          <cell r="D55">
            <v>85</v>
          </cell>
          <cell r="E55">
            <v>7.5510000000000002</v>
          </cell>
        </row>
        <row r="56">
          <cell r="A56">
            <v>3926</v>
          </cell>
          <cell r="B56">
            <v>15</v>
          </cell>
          <cell r="C56">
            <v>20</v>
          </cell>
          <cell r="D56">
            <v>90</v>
          </cell>
          <cell r="E56">
            <v>1.6779999999999999</v>
          </cell>
        </row>
        <row r="57">
          <cell r="A57">
            <v>3221</v>
          </cell>
          <cell r="B57">
            <v>16</v>
          </cell>
          <cell r="C57">
            <v>60</v>
          </cell>
          <cell r="D57">
            <v>85</v>
          </cell>
          <cell r="E57">
            <v>7.5510000000000002</v>
          </cell>
        </row>
        <row r="58">
          <cell r="A58">
            <v>5867</v>
          </cell>
          <cell r="B58">
            <v>16</v>
          </cell>
          <cell r="C58">
            <v>40</v>
          </cell>
          <cell r="D58">
            <v>40</v>
          </cell>
          <cell r="E58">
            <v>20.135999999999999</v>
          </cell>
        </row>
        <row r="59">
          <cell r="A59">
            <v>1731</v>
          </cell>
          <cell r="B59">
            <v>14</v>
          </cell>
          <cell r="C59">
            <v>50</v>
          </cell>
          <cell r="D59">
            <v>70</v>
          </cell>
          <cell r="E59">
            <v>12.585000000000001</v>
          </cell>
        </row>
        <row r="60">
          <cell r="A60">
            <v>169</v>
          </cell>
          <cell r="B60">
            <v>13</v>
          </cell>
          <cell r="C60">
            <v>50</v>
          </cell>
          <cell r="D60">
            <v>80</v>
          </cell>
          <cell r="E60">
            <v>8.39</v>
          </cell>
        </row>
        <row r="61">
          <cell r="C61">
            <v>1135</v>
          </cell>
          <cell r="E61">
            <v>207.86225000000002</v>
          </cell>
        </row>
        <row r="62">
          <cell r="A62">
            <v>3479</v>
          </cell>
          <cell r="B62">
            <v>15</v>
          </cell>
          <cell r="C62">
            <v>20</v>
          </cell>
          <cell r="D62">
            <v>98</v>
          </cell>
          <cell r="E62">
            <v>0.33560000000000001</v>
          </cell>
        </row>
        <row r="63">
          <cell r="A63">
            <v>2542</v>
          </cell>
          <cell r="B63">
            <v>14</v>
          </cell>
          <cell r="C63">
            <v>25</v>
          </cell>
          <cell r="D63">
            <v>75</v>
          </cell>
          <cell r="E63">
            <v>5.2437500000000004</v>
          </cell>
        </row>
        <row r="64">
          <cell r="A64">
            <v>2919</v>
          </cell>
          <cell r="B64">
            <v>14</v>
          </cell>
          <cell r="C64">
            <v>220</v>
          </cell>
          <cell r="D64">
            <v>98</v>
          </cell>
          <cell r="E64">
            <v>3.6915999999999998</v>
          </cell>
        </row>
        <row r="65">
          <cell r="A65">
            <v>5597</v>
          </cell>
          <cell r="B65">
            <v>15</v>
          </cell>
          <cell r="C65">
            <v>30</v>
          </cell>
          <cell r="D65">
            <v>85</v>
          </cell>
          <cell r="E65">
            <v>3.7755000000000001</v>
          </cell>
        </row>
        <row r="66">
          <cell r="A66">
            <v>5701</v>
          </cell>
          <cell r="B66">
            <v>14</v>
          </cell>
          <cell r="C66">
            <v>20</v>
          </cell>
          <cell r="D66">
            <v>90</v>
          </cell>
          <cell r="E66">
            <v>1.6779999999999999</v>
          </cell>
        </row>
        <row r="67">
          <cell r="A67">
            <v>5664</v>
          </cell>
          <cell r="B67">
            <v>15</v>
          </cell>
          <cell r="C67">
            <v>5</v>
          </cell>
          <cell r="D67">
            <v>40</v>
          </cell>
          <cell r="E67">
            <v>2.5169999999999999</v>
          </cell>
        </row>
        <row r="68">
          <cell r="A68">
            <v>1722</v>
          </cell>
          <cell r="B68">
            <v>14</v>
          </cell>
          <cell r="C68">
            <v>20</v>
          </cell>
          <cell r="D68">
            <v>90</v>
          </cell>
          <cell r="E68">
            <v>1.6779999999999999</v>
          </cell>
        </row>
        <row r="69">
          <cell r="A69">
            <v>7921</v>
          </cell>
          <cell r="B69">
            <v>13</v>
          </cell>
          <cell r="C69">
            <v>60</v>
          </cell>
          <cell r="D69">
            <v>85</v>
          </cell>
          <cell r="E69">
            <v>7.5510000000000002</v>
          </cell>
        </row>
        <row r="70">
          <cell r="A70">
            <v>1167</v>
          </cell>
          <cell r="B70">
            <v>14</v>
          </cell>
          <cell r="C70">
            <v>60</v>
          </cell>
          <cell r="D70">
            <v>85</v>
          </cell>
          <cell r="E70">
            <v>7.5510000000000002</v>
          </cell>
        </row>
        <row r="71">
          <cell r="A71">
            <v>1594</v>
          </cell>
          <cell r="B71">
            <v>13</v>
          </cell>
          <cell r="C71">
            <v>30</v>
          </cell>
          <cell r="D71">
            <v>75</v>
          </cell>
          <cell r="E71">
            <v>6.2925000000000004</v>
          </cell>
        </row>
        <row r="72">
          <cell r="A72">
            <v>1981</v>
          </cell>
          <cell r="B72">
            <v>14</v>
          </cell>
          <cell r="C72">
            <v>45</v>
          </cell>
          <cell r="D72">
            <v>90</v>
          </cell>
          <cell r="E72">
            <v>3.7755000000000001</v>
          </cell>
        </row>
        <row r="73">
          <cell r="A73">
            <v>5459</v>
          </cell>
          <cell r="B73">
            <v>13</v>
          </cell>
          <cell r="C73">
            <v>30</v>
          </cell>
          <cell r="D73">
            <v>80</v>
          </cell>
          <cell r="E73">
            <v>5.0339999999999998</v>
          </cell>
        </row>
        <row r="74">
          <cell r="A74">
            <v>3457</v>
          </cell>
          <cell r="B74">
            <v>15</v>
          </cell>
          <cell r="C74">
            <v>40</v>
          </cell>
          <cell r="D74">
            <v>90</v>
          </cell>
          <cell r="E74">
            <v>3.3559999999999999</v>
          </cell>
        </row>
        <row r="75">
          <cell r="A75">
            <v>511</v>
          </cell>
          <cell r="B75">
            <v>14</v>
          </cell>
          <cell r="C75">
            <v>40</v>
          </cell>
          <cell r="D75">
            <v>95</v>
          </cell>
          <cell r="E75">
            <v>1.6779999999999999</v>
          </cell>
        </row>
        <row r="76">
          <cell r="C76">
            <v>645</v>
          </cell>
          <cell r="E76">
            <v>54.157450000000004</v>
          </cell>
        </row>
        <row r="77">
          <cell r="A77">
            <v>3133</v>
          </cell>
          <cell r="B77">
            <v>13</v>
          </cell>
          <cell r="C77">
            <v>45</v>
          </cell>
          <cell r="D77">
            <v>95</v>
          </cell>
          <cell r="E77">
            <v>1.88775</v>
          </cell>
        </row>
        <row r="78">
          <cell r="A78">
            <v>5704</v>
          </cell>
          <cell r="B78">
            <v>14</v>
          </cell>
          <cell r="C78">
            <v>80</v>
          </cell>
          <cell r="D78">
            <v>95</v>
          </cell>
          <cell r="E78">
            <v>3.3559999999999999</v>
          </cell>
        </row>
        <row r="79">
          <cell r="A79">
            <v>8602</v>
          </cell>
          <cell r="B79">
            <v>14</v>
          </cell>
          <cell r="C79">
            <v>70</v>
          </cell>
          <cell r="D79">
            <v>90</v>
          </cell>
          <cell r="E79">
            <v>5.8729999999999993</v>
          </cell>
        </row>
        <row r="80">
          <cell r="A80">
            <v>4768</v>
          </cell>
          <cell r="B80">
            <v>15</v>
          </cell>
          <cell r="C80">
            <v>45</v>
          </cell>
          <cell r="D80">
            <v>40</v>
          </cell>
          <cell r="E80">
            <v>22.652999999999999</v>
          </cell>
        </row>
        <row r="81">
          <cell r="A81">
            <v>5706</v>
          </cell>
          <cell r="B81">
            <v>14</v>
          </cell>
          <cell r="C81">
            <v>40</v>
          </cell>
          <cell r="D81">
            <v>90</v>
          </cell>
          <cell r="E81">
            <v>3.3559999999999999</v>
          </cell>
        </row>
        <row r="82">
          <cell r="A82">
            <v>1984</v>
          </cell>
          <cell r="B82">
            <v>13</v>
          </cell>
          <cell r="C82">
            <v>10</v>
          </cell>
          <cell r="D82">
            <v>35</v>
          </cell>
          <cell r="E82">
            <v>5.4535</v>
          </cell>
        </row>
        <row r="83">
          <cell r="A83">
            <v>6622</v>
          </cell>
          <cell r="B83">
            <v>13</v>
          </cell>
          <cell r="C83">
            <v>30</v>
          </cell>
          <cell r="D83">
            <v>85</v>
          </cell>
          <cell r="E83">
            <v>3.7755000000000001</v>
          </cell>
        </row>
        <row r="84">
          <cell r="C84">
            <v>320</v>
          </cell>
          <cell r="E84">
            <v>46.354750000000003</v>
          </cell>
        </row>
        <row r="85">
          <cell r="A85">
            <v>5593</v>
          </cell>
          <cell r="B85">
            <v>14</v>
          </cell>
          <cell r="C85">
            <v>15</v>
          </cell>
          <cell r="D85">
            <v>80</v>
          </cell>
          <cell r="E85">
            <v>2.5169999999999999</v>
          </cell>
        </row>
        <row r="86">
          <cell r="A86">
            <v>5037</v>
          </cell>
          <cell r="B86">
            <v>13</v>
          </cell>
          <cell r="C86">
            <v>25</v>
          </cell>
          <cell r="D86">
            <v>35</v>
          </cell>
          <cell r="E86">
            <v>13.633749999999999</v>
          </cell>
        </row>
        <row r="87">
          <cell r="A87">
            <v>5287</v>
          </cell>
          <cell r="B87">
            <v>14</v>
          </cell>
          <cell r="C87">
            <v>55</v>
          </cell>
          <cell r="D87">
            <v>98</v>
          </cell>
          <cell r="E87">
            <v>0.92289999999999994</v>
          </cell>
        </row>
        <row r="88">
          <cell r="A88">
            <v>8779</v>
          </cell>
          <cell r="B88">
            <v>14</v>
          </cell>
          <cell r="C88">
            <v>60</v>
          </cell>
          <cell r="D88">
            <v>90</v>
          </cell>
          <cell r="E88">
            <v>5.0339999999999998</v>
          </cell>
        </row>
        <row r="89">
          <cell r="A89">
            <v>6434</v>
          </cell>
          <cell r="B89">
            <v>14</v>
          </cell>
          <cell r="C89">
            <v>60</v>
          </cell>
          <cell r="D89">
            <v>95</v>
          </cell>
          <cell r="E89">
            <v>2.5169999999999999</v>
          </cell>
        </row>
        <row r="90">
          <cell r="A90">
            <v>2541</v>
          </cell>
          <cell r="B90">
            <v>13</v>
          </cell>
          <cell r="C90">
            <v>40</v>
          </cell>
          <cell r="D90">
            <v>95</v>
          </cell>
          <cell r="E90">
            <v>1.6779999999999999</v>
          </cell>
        </row>
        <row r="91">
          <cell r="A91">
            <v>5702</v>
          </cell>
          <cell r="B91">
            <v>13</v>
          </cell>
          <cell r="C91">
            <v>20</v>
          </cell>
          <cell r="D91">
            <v>90</v>
          </cell>
          <cell r="E91">
            <v>1.6779999999999999</v>
          </cell>
        </row>
        <row r="92">
          <cell r="C92">
            <v>275</v>
          </cell>
          <cell r="E92">
            <v>27.980649999999997</v>
          </cell>
        </row>
        <row r="93">
          <cell r="A93">
            <v>2071</v>
          </cell>
          <cell r="B93">
            <v>14</v>
          </cell>
          <cell r="C93">
            <v>25</v>
          </cell>
          <cell r="D93">
            <v>50</v>
          </cell>
          <cell r="E93">
            <v>10.487500000000001</v>
          </cell>
        </row>
        <row r="94">
          <cell r="A94">
            <v>8601</v>
          </cell>
          <cell r="B94">
            <v>14</v>
          </cell>
          <cell r="C94">
            <v>50</v>
          </cell>
          <cell r="D94">
            <v>85</v>
          </cell>
          <cell r="E94">
            <v>6.2925000000000004</v>
          </cell>
          <cell r="I94">
            <v>1035</v>
          </cell>
          <cell r="J94">
            <v>180</v>
          </cell>
          <cell r="K94">
            <v>174.2603</v>
          </cell>
        </row>
        <row r="95">
          <cell r="A95">
            <v>2539</v>
          </cell>
          <cell r="B95">
            <v>14</v>
          </cell>
          <cell r="C95">
            <v>40</v>
          </cell>
          <cell r="D95">
            <v>92</v>
          </cell>
          <cell r="E95">
            <v>2.6848000000000001</v>
          </cell>
        </row>
        <row r="96">
          <cell r="A96">
            <v>4229</v>
          </cell>
          <cell r="B96">
            <v>14</v>
          </cell>
          <cell r="C96">
            <v>40</v>
          </cell>
          <cell r="D96">
            <v>70</v>
          </cell>
          <cell r="E96">
            <v>10.068</v>
          </cell>
        </row>
        <row r="97">
          <cell r="A97">
            <v>1982</v>
          </cell>
          <cell r="B97">
            <v>14</v>
          </cell>
          <cell r="C97">
            <v>25</v>
          </cell>
          <cell r="D97">
            <v>80</v>
          </cell>
          <cell r="E97">
            <v>4.1950000000000003</v>
          </cell>
        </row>
        <row r="98">
          <cell r="A98">
            <v>6753</v>
          </cell>
          <cell r="B98">
            <v>14</v>
          </cell>
          <cell r="C98">
            <v>35</v>
          </cell>
          <cell r="D98">
            <v>55</v>
          </cell>
          <cell r="E98">
            <v>13.21425</v>
          </cell>
        </row>
        <row r="99">
          <cell r="A99">
            <v>2102</v>
          </cell>
          <cell r="B99">
            <v>13</v>
          </cell>
          <cell r="C99">
            <v>30</v>
          </cell>
          <cell r="D99">
            <v>35</v>
          </cell>
          <cell r="E99">
            <v>16.360499999999998</v>
          </cell>
        </row>
        <row r="100">
          <cell r="A100">
            <v>7442</v>
          </cell>
          <cell r="B100">
            <v>14</v>
          </cell>
          <cell r="C100">
            <v>50</v>
          </cell>
          <cell r="D100">
            <v>85</v>
          </cell>
          <cell r="E100">
            <v>6.2925000000000004</v>
          </cell>
        </row>
        <row r="101">
          <cell r="A101">
            <v>4711</v>
          </cell>
          <cell r="B101">
            <v>14</v>
          </cell>
          <cell r="C101">
            <v>15</v>
          </cell>
          <cell r="D101">
            <v>35</v>
          </cell>
          <cell r="E101">
            <v>8.1802499999999991</v>
          </cell>
        </row>
        <row r="102">
          <cell r="A102">
            <v>7443</v>
          </cell>
          <cell r="B102">
            <v>14</v>
          </cell>
          <cell r="C102">
            <v>20</v>
          </cell>
          <cell r="D102">
            <v>40</v>
          </cell>
          <cell r="E102">
            <v>10.068</v>
          </cell>
        </row>
        <row r="103">
          <cell r="A103">
            <v>1137</v>
          </cell>
          <cell r="B103" t="str">
            <v>13/14</v>
          </cell>
          <cell r="C103">
            <v>60</v>
          </cell>
          <cell r="D103">
            <v>90</v>
          </cell>
          <cell r="E103">
            <v>5.0339999999999998</v>
          </cell>
        </row>
        <row r="104">
          <cell r="C104">
            <v>390</v>
          </cell>
          <cell r="E104">
            <v>92.877300000000005</v>
          </cell>
        </row>
        <row r="105">
          <cell r="A105">
            <v>2096</v>
          </cell>
          <cell r="B105">
            <v>14</v>
          </cell>
          <cell r="C105">
            <v>50</v>
          </cell>
          <cell r="D105">
            <v>90</v>
          </cell>
          <cell r="E105">
            <v>4.1950000000000003</v>
          </cell>
        </row>
        <row r="106">
          <cell r="A106">
            <v>4096</v>
          </cell>
          <cell r="B106">
            <v>15</v>
          </cell>
          <cell r="C106">
            <v>15</v>
          </cell>
          <cell r="D106">
            <v>85</v>
          </cell>
          <cell r="E106">
            <v>1.88775</v>
          </cell>
        </row>
        <row r="107">
          <cell r="A107">
            <v>507</v>
          </cell>
          <cell r="B107">
            <v>14</v>
          </cell>
          <cell r="C107">
            <v>40</v>
          </cell>
          <cell r="D107">
            <v>90</v>
          </cell>
          <cell r="E107">
            <v>3.3559999999999999</v>
          </cell>
        </row>
        <row r="108">
          <cell r="A108">
            <v>3485</v>
          </cell>
          <cell r="B108">
            <v>16</v>
          </cell>
          <cell r="C108">
            <v>40</v>
          </cell>
          <cell r="D108">
            <v>90</v>
          </cell>
          <cell r="E108">
            <v>3.3559999999999999</v>
          </cell>
        </row>
        <row r="109">
          <cell r="A109">
            <v>1164</v>
          </cell>
          <cell r="B109">
            <v>14</v>
          </cell>
          <cell r="C109">
            <v>45</v>
          </cell>
          <cell r="D109">
            <v>95</v>
          </cell>
          <cell r="E109">
            <v>1.88775</v>
          </cell>
        </row>
        <row r="110">
          <cell r="A110">
            <v>2929</v>
          </cell>
          <cell r="B110">
            <v>13</v>
          </cell>
          <cell r="C110">
            <v>20</v>
          </cell>
          <cell r="D110">
            <v>50</v>
          </cell>
          <cell r="E110">
            <v>8.39</v>
          </cell>
        </row>
        <row r="111">
          <cell r="A111">
            <v>2093</v>
          </cell>
          <cell r="B111">
            <v>14</v>
          </cell>
          <cell r="C111">
            <v>15</v>
          </cell>
          <cell r="D111">
            <v>70</v>
          </cell>
          <cell r="E111">
            <v>3.7755000000000001</v>
          </cell>
        </row>
        <row r="112">
          <cell r="A112">
            <v>6616</v>
          </cell>
          <cell r="B112">
            <v>13</v>
          </cell>
          <cell r="C112">
            <v>60</v>
          </cell>
          <cell r="D112">
            <v>60</v>
          </cell>
          <cell r="E112">
            <v>20.135999999999999</v>
          </cell>
        </row>
        <row r="113">
          <cell r="A113">
            <v>3477</v>
          </cell>
          <cell r="B113">
            <v>15</v>
          </cell>
          <cell r="C113">
            <v>90</v>
          </cell>
          <cell r="D113">
            <v>90</v>
          </cell>
          <cell r="E113">
            <v>7.5510000000000002</v>
          </cell>
        </row>
        <row r="114">
          <cell r="A114">
            <v>6024</v>
          </cell>
          <cell r="B114">
            <v>17</v>
          </cell>
          <cell r="C114">
            <v>75</v>
          </cell>
          <cell r="D114">
            <v>95</v>
          </cell>
          <cell r="E114">
            <v>3.1462500000000002</v>
          </cell>
        </row>
        <row r="115">
          <cell r="A115">
            <v>7923</v>
          </cell>
          <cell r="B115">
            <v>13</v>
          </cell>
          <cell r="C115">
            <v>60</v>
          </cell>
          <cell r="D115">
            <v>90</v>
          </cell>
          <cell r="E115">
            <v>5.0339999999999998</v>
          </cell>
        </row>
        <row r="116">
          <cell r="A116">
            <v>7936</v>
          </cell>
          <cell r="B116">
            <v>15</v>
          </cell>
          <cell r="C116">
            <v>35</v>
          </cell>
          <cell r="D116">
            <v>65</v>
          </cell>
          <cell r="E116">
            <v>10.277749999999999</v>
          </cell>
        </row>
        <row r="117">
          <cell r="C117">
            <v>545</v>
          </cell>
          <cell r="E117">
            <v>72.993000000000009</v>
          </cell>
        </row>
        <row r="118">
          <cell r="A118">
            <v>1143</v>
          </cell>
          <cell r="B118">
            <v>14</v>
          </cell>
          <cell r="C118">
            <v>35</v>
          </cell>
          <cell r="D118">
            <v>90</v>
          </cell>
          <cell r="E118">
            <v>2.9364999999999997</v>
          </cell>
        </row>
        <row r="119">
          <cell r="A119">
            <v>4858</v>
          </cell>
          <cell r="B119">
            <v>16</v>
          </cell>
          <cell r="C119">
            <v>50</v>
          </cell>
          <cell r="D119">
            <v>85</v>
          </cell>
          <cell r="E119">
            <v>6.2925000000000004</v>
          </cell>
        </row>
        <row r="120">
          <cell r="A120">
            <v>5838</v>
          </cell>
          <cell r="B120">
            <v>15</v>
          </cell>
          <cell r="C120">
            <v>125</v>
          </cell>
          <cell r="D120">
            <v>98</v>
          </cell>
          <cell r="E120">
            <v>2.0975000000000001</v>
          </cell>
        </row>
        <row r="121">
          <cell r="A121">
            <v>2075</v>
          </cell>
          <cell r="B121">
            <v>14</v>
          </cell>
          <cell r="C121">
            <v>70</v>
          </cell>
          <cell r="D121">
            <v>95</v>
          </cell>
          <cell r="E121">
            <v>2.9364999999999997</v>
          </cell>
        </row>
        <row r="122">
          <cell r="A122">
            <v>333</v>
          </cell>
          <cell r="B122">
            <v>16</v>
          </cell>
          <cell r="C122">
            <v>60</v>
          </cell>
          <cell r="D122">
            <v>98</v>
          </cell>
          <cell r="E122">
            <v>1.0067999999999999</v>
          </cell>
        </row>
        <row r="123">
          <cell r="A123">
            <v>231</v>
          </cell>
          <cell r="B123">
            <v>15</v>
          </cell>
          <cell r="C123">
            <v>10</v>
          </cell>
          <cell r="D123">
            <v>80</v>
          </cell>
          <cell r="E123">
            <v>1.6779999999999999</v>
          </cell>
        </row>
        <row r="124">
          <cell r="A124">
            <v>7781</v>
          </cell>
          <cell r="B124">
            <v>13</v>
          </cell>
          <cell r="C124">
            <v>50</v>
          </cell>
          <cell r="D124">
            <v>90</v>
          </cell>
          <cell r="E124">
            <v>4.1950000000000003</v>
          </cell>
        </row>
        <row r="125">
          <cell r="A125">
            <v>491</v>
          </cell>
          <cell r="B125">
            <v>13</v>
          </cell>
          <cell r="C125">
            <v>40</v>
          </cell>
          <cell r="D125">
            <v>50</v>
          </cell>
          <cell r="E125">
            <v>16.78</v>
          </cell>
        </row>
        <row r="126">
          <cell r="A126">
            <v>3143</v>
          </cell>
          <cell r="B126">
            <v>15</v>
          </cell>
          <cell r="C126">
            <v>50</v>
          </cell>
          <cell r="D126">
            <v>95</v>
          </cell>
          <cell r="E126">
            <v>2.0975000000000001</v>
          </cell>
        </row>
        <row r="127">
          <cell r="C127">
            <v>490</v>
          </cell>
          <cell r="E127">
            <v>40.020299999999992</v>
          </cell>
        </row>
        <row r="128">
          <cell r="A128">
            <v>336</v>
          </cell>
          <cell r="B128">
            <v>16</v>
          </cell>
          <cell r="C128">
            <v>60</v>
          </cell>
          <cell r="D128">
            <v>90</v>
          </cell>
          <cell r="E128">
            <v>5.0339999999999998</v>
          </cell>
        </row>
        <row r="129">
          <cell r="A129">
            <v>3138</v>
          </cell>
          <cell r="B129">
            <v>15</v>
          </cell>
          <cell r="C129">
            <v>50</v>
          </cell>
          <cell r="D129">
            <v>95</v>
          </cell>
          <cell r="E129">
            <v>2.0975000000000001</v>
          </cell>
        </row>
        <row r="130">
          <cell r="A130">
            <v>6023</v>
          </cell>
          <cell r="B130">
            <v>16</v>
          </cell>
          <cell r="C130">
            <v>80</v>
          </cell>
          <cell r="D130">
            <v>85</v>
          </cell>
          <cell r="E130">
            <v>10.068</v>
          </cell>
        </row>
        <row r="131">
          <cell r="A131">
            <v>3181</v>
          </cell>
          <cell r="B131">
            <v>15</v>
          </cell>
          <cell r="C131">
            <v>120</v>
          </cell>
          <cell r="D131">
            <v>90</v>
          </cell>
          <cell r="E131">
            <v>10.068</v>
          </cell>
        </row>
        <row r="132">
          <cell r="A132">
            <v>1714</v>
          </cell>
          <cell r="B132">
            <v>14</v>
          </cell>
          <cell r="C132">
            <v>90</v>
          </cell>
          <cell r="D132">
            <v>94</v>
          </cell>
          <cell r="E132">
            <v>4.5305999999999997</v>
          </cell>
        </row>
        <row r="133">
          <cell r="A133">
            <v>2489</v>
          </cell>
          <cell r="B133">
            <v>13</v>
          </cell>
          <cell r="C133">
            <v>15</v>
          </cell>
          <cell r="D133">
            <v>40</v>
          </cell>
          <cell r="E133">
            <v>7.5510000000000002</v>
          </cell>
        </row>
        <row r="134">
          <cell r="A134">
            <v>7803</v>
          </cell>
          <cell r="B134">
            <v>15</v>
          </cell>
          <cell r="C134">
            <v>30</v>
          </cell>
          <cell r="D134">
            <v>90</v>
          </cell>
          <cell r="E134">
            <v>2.5169999999999999</v>
          </cell>
        </row>
        <row r="135">
          <cell r="A135">
            <v>8610</v>
          </cell>
          <cell r="B135">
            <v>14</v>
          </cell>
          <cell r="C135">
            <v>35</v>
          </cell>
          <cell r="D135">
            <v>90</v>
          </cell>
          <cell r="E135">
            <v>2.9364999999999997</v>
          </cell>
        </row>
        <row r="136">
          <cell r="A136">
            <v>2488</v>
          </cell>
          <cell r="B136">
            <v>14</v>
          </cell>
          <cell r="C136">
            <v>45</v>
          </cell>
          <cell r="D136">
            <v>90</v>
          </cell>
          <cell r="E136">
            <v>3.7755000000000001</v>
          </cell>
        </row>
        <row r="137">
          <cell r="A137">
            <v>4082</v>
          </cell>
          <cell r="B137">
            <v>15</v>
          </cell>
          <cell r="C137">
            <v>40</v>
          </cell>
          <cell r="D137">
            <v>90</v>
          </cell>
          <cell r="E137">
            <v>3.3559999999999999</v>
          </cell>
        </row>
        <row r="138">
          <cell r="A138">
            <v>3472</v>
          </cell>
          <cell r="B138">
            <v>15</v>
          </cell>
          <cell r="C138">
            <v>60</v>
          </cell>
          <cell r="D138">
            <v>60</v>
          </cell>
          <cell r="E138">
            <v>20.135999999999999</v>
          </cell>
        </row>
        <row r="139">
          <cell r="C139">
            <v>625</v>
          </cell>
          <cell r="E139">
            <v>72.070100000000011</v>
          </cell>
        </row>
        <row r="140">
          <cell r="A140">
            <v>7806</v>
          </cell>
          <cell r="B140">
            <v>13</v>
          </cell>
          <cell r="C140">
            <v>120</v>
          </cell>
          <cell r="D140">
            <v>98</v>
          </cell>
          <cell r="E140">
            <v>2.0135999999999998</v>
          </cell>
        </row>
        <row r="141">
          <cell r="A141">
            <v>6623</v>
          </cell>
          <cell r="B141">
            <v>13</v>
          </cell>
          <cell r="C141">
            <v>15</v>
          </cell>
          <cell r="D141">
            <v>70</v>
          </cell>
          <cell r="E141">
            <v>3.7755000000000001</v>
          </cell>
        </row>
        <row r="142">
          <cell r="A142">
            <v>3474</v>
          </cell>
          <cell r="B142">
            <v>15</v>
          </cell>
          <cell r="C142">
            <v>70</v>
          </cell>
          <cell r="D142">
            <v>85</v>
          </cell>
          <cell r="E142">
            <v>8.8094999999999999</v>
          </cell>
        </row>
        <row r="143">
          <cell r="A143">
            <v>484</v>
          </cell>
          <cell r="B143">
            <v>15</v>
          </cell>
          <cell r="C143">
            <v>15</v>
          </cell>
          <cell r="D143">
            <v>90</v>
          </cell>
          <cell r="E143">
            <v>1.2585</v>
          </cell>
        </row>
        <row r="144">
          <cell r="A144">
            <v>2076</v>
          </cell>
          <cell r="B144">
            <v>13</v>
          </cell>
          <cell r="C144">
            <v>15</v>
          </cell>
          <cell r="D144">
            <v>40</v>
          </cell>
          <cell r="E144">
            <v>7.5510000000000002</v>
          </cell>
        </row>
        <row r="145">
          <cell r="A145">
            <v>3141</v>
          </cell>
          <cell r="B145">
            <v>16</v>
          </cell>
          <cell r="C145">
            <v>50</v>
          </cell>
          <cell r="D145">
            <v>95</v>
          </cell>
          <cell r="E145">
            <v>2.0975000000000001</v>
          </cell>
        </row>
        <row r="146">
          <cell r="A146">
            <v>5922</v>
          </cell>
          <cell r="B146">
            <v>14</v>
          </cell>
          <cell r="C146">
            <v>70</v>
          </cell>
          <cell r="D146">
            <v>90</v>
          </cell>
          <cell r="E146">
            <v>5.8729999999999993</v>
          </cell>
        </row>
        <row r="147">
          <cell r="A147">
            <v>3476</v>
          </cell>
          <cell r="B147">
            <v>15</v>
          </cell>
          <cell r="C147">
            <v>55</v>
          </cell>
          <cell r="D147">
            <v>90</v>
          </cell>
          <cell r="E147">
            <v>4.6144999999999996</v>
          </cell>
        </row>
        <row r="148">
          <cell r="A148">
            <v>6628</v>
          </cell>
          <cell r="B148">
            <v>13</v>
          </cell>
          <cell r="C148">
            <v>20</v>
          </cell>
          <cell r="D148">
            <v>85</v>
          </cell>
          <cell r="E148">
            <v>2.5169999999999999</v>
          </cell>
        </row>
        <row r="149">
          <cell r="A149">
            <v>2074</v>
          </cell>
          <cell r="B149">
            <v>13</v>
          </cell>
          <cell r="C149">
            <v>10</v>
          </cell>
          <cell r="D149">
            <v>65</v>
          </cell>
          <cell r="E149">
            <v>2.9364999999999997</v>
          </cell>
        </row>
        <row r="150">
          <cell r="A150">
            <v>486</v>
          </cell>
          <cell r="B150">
            <v>13</v>
          </cell>
          <cell r="C150">
            <v>30</v>
          </cell>
          <cell r="D150">
            <v>80</v>
          </cell>
          <cell r="E150">
            <v>5.0339999999999998</v>
          </cell>
        </row>
        <row r="151">
          <cell r="C151">
            <v>470</v>
          </cell>
          <cell r="E151">
            <v>46.480600000000003</v>
          </cell>
        </row>
        <row r="152">
          <cell r="A152">
            <v>7938</v>
          </cell>
          <cell r="B152">
            <v>15</v>
          </cell>
          <cell r="C152">
            <v>45</v>
          </cell>
          <cell r="D152">
            <v>70</v>
          </cell>
          <cell r="E152">
            <v>11.326499999999999</v>
          </cell>
        </row>
        <row r="153">
          <cell r="A153">
            <v>4093</v>
          </cell>
          <cell r="B153">
            <v>17</v>
          </cell>
          <cell r="C153">
            <v>40</v>
          </cell>
          <cell r="D153">
            <v>85</v>
          </cell>
          <cell r="E153">
            <v>5.0339999999999998</v>
          </cell>
        </row>
        <row r="154">
          <cell r="A154">
            <v>7603</v>
          </cell>
          <cell r="B154">
            <v>13</v>
          </cell>
          <cell r="C154">
            <v>30</v>
          </cell>
          <cell r="D154">
            <v>90</v>
          </cell>
          <cell r="E154">
            <v>2.5169999999999999</v>
          </cell>
        </row>
        <row r="155">
          <cell r="A155">
            <v>1162</v>
          </cell>
          <cell r="B155" t="str">
            <v>13/14</v>
          </cell>
          <cell r="C155">
            <v>70</v>
          </cell>
          <cell r="D155">
            <v>85</v>
          </cell>
          <cell r="E155">
            <v>8.8094999999999999</v>
          </cell>
        </row>
        <row r="156">
          <cell r="A156">
            <v>4436</v>
          </cell>
          <cell r="B156">
            <v>15</v>
          </cell>
          <cell r="C156">
            <v>70</v>
          </cell>
          <cell r="D156">
            <v>85</v>
          </cell>
          <cell r="E156">
            <v>8.8094999999999999</v>
          </cell>
        </row>
        <row r="157">
          <cell r="A157">
            <v>4337</v>
          </cell>
          <cell r="B157">
            <v>18</v>
          </cell>
          <cell r="C157">
            <v>75</v>
          </cell>
          <cell r="D157">
            <v>85</v>
          </cell>
          <cell r="E157">
            <v>9.4387500000000006</v>
          </cell>
        </row>
        <row r="158">
          <cell r="A158">
            <v>7594</v>
          </cell>
          <cell r="B158">
            <v>13</v>
          </cell>
          <cell r="C158">
            <v>50</v>
          </cell>
          <cell r="D158">
            <v>70</v>
          </cell>
          <cell r="E158">
            <v>12.585000000000001</v>
          </cell>
        </row>
        <row r="159">
          <cell r="A159">
            <v>8769</v>
          </cell>
          <cell r="B159">
            <v>17</v>
          </cell>
          <cell r="C159">
            <v>35</v>
          </cell>
          <cell r="D159">
            <v>85</v>
          </cell>
          <cell r="E159">
            <v>4.4047499999999999</v>
          </cell>
        </row>
        <row r="160">
          <cell r="A160">
            <v>3918</v>
          </cell>
          <cell r="B160">
            <v>14</v>
          </cell>
          <cell r="C160">
            <v>10</v>
          </cell>
          <cell r="D160">
            <v>40</v>
          </cell>
          <cell r="E160">
            <v>5.0339999999999998</v>
          </cell>
        </row>
        <row r="161">
          <cell r="A161">
            <v>4382</v>
          </cell>
          <cell r="B161">
            <v>18</v>
          </cell>
          <cell r="C161">
            <v>30</v>
          </cell>
          <cell r="D161">
            <v>90</v>
          </cell>
          <cell r="E161">
            <v>2.5169999999999999</v>
          </cell>
        </row>
        <row r="162">
          <cell r="A162">
            <v>4083</v>
          </cell>
          <cell r="B162">
            <v>15</v>
          </cell>
          <cell r="C162">
            <v>15</v>
          </cell>
          <cell r="D162">
            <v>40</v>
          </cell>
          <cell r="E162">
            <v>7.5510000000000002</v>
          </cell>
        </row>
        <row r="163">
          <cell r="A163">
            <v>6078</v>
          </cell>
          <cell r="B163">
            <v>15</v>
          </cell>
          <cell r="C163">
            <v>60</v>
          </cell>
          <cell r="D163">
            <v>35</v>
          </cell>
          <cell r="E163">
            <v>32.720999999999997</v>
          </cell>
        </row>
        <row r="164">
          <cell r="C164">
            <v>530</v>
          </cell>
          <cell r="E164">
            <v>110.74799999999999</v>
          </cell>
        </row>
        <row r="165">
          <cell r="A165">
            <v>4383</v>
          </cell>
          <cell r="B165">
            <v>14</v>
          </cell>
          <cell r="C165">
            <v>45</v>
          </cell>
          <cell r="D165">
            <v>95</v>
          </cell>
          <cell r="E165">
            <v>1.88775</v>
          </cell>
        </row>
        <row r="166">
          <cell r="A166">
            <v>4069</v>
          </cell>
          <cell r="B166">
            <v>17</v>
          </cell>
          <cell r="C166">
            <v>10</v>
          </cell>
          <cell r="D166">
            <v>45</v>
          </cell>
          <cell r="E166">
            <v>4.6144999999999996</v>
          </cell>
        </row>
        <row r="167">
          <cell r="A167">
            <v>3147</v>
          </cell>
          <cell r="B167">
            <v>14</v>
          </cell>
          <cell r="C167">
            <v>40</v>
          </cell>
          <cell r="D167">
            <v>95</v>
          </cell>
          <cell r="E167">
            <v>1.6779999999999999</v>
          </cell>
        </row>
        <row r="168">
          <cell r="A168">
            <v>3166</v>
          </cell>
          <cell r="B168">
            <v>15</v>
          </cell>
          <cell r="C168">
            <v>35</v>
          </cell>
          <cell r="D168">
            <v>95</v>
          </cell>
          <cell r="E168">
            <v>1.4682499999999998</v>
          </cell>
        </row>
        <row r="169">
          <cell r="A169">
            <v>3148</v>
          </cell>
          <cell r="B169">
            <v>16</v>
          </cell>
          <cell r="C169">
            <v>50</v>
          </cell>
          <cell r="D169">
            <v>95</v>
          </cell>
          <cell r="E169">
            <v>2.0975000000000001</v>
          </cell>
        </row>
        <row r="170">
          <cell r="A170">
            <v>1614</v>
          </cell>
          <cell r="B170" t="str">
            <v>13/14</v>
          </cell>
          <cell r="C170">
            <v>60</v>
          </cell>
          <cell r="D170">
            <v>95</v>
          </cell>
          <cell r="E170">
            <v>2.5169999999999999</v>
          </cell>
        </row>
        <row r="171">
          <cell r="A171">
            <v>858</v>
          </cell>
          <cell r="B171">
            <v>14</v>
          </cell>
          <cell r="C171">
            <v>30</v>
          </cell>
          <cell r="D171">
            <v>90</v>
          </cell>
          <cell r="E171">
            <v>2.5169999999999999</v>
          </cell>
        </row>
        <row r="172">
          <cell r="A172">
            <v>4869</v>
          </cell>
          <cell r="B172">
            <v>14</v>
          </cell>
          <cell r="C172">
            <v>35</v>
          </cell>
          <cell r="D172">
            <v>85</v>
          </cell>
          <cell r="E172">
            <v>4.4047499999999999</v>
          </cell>
        </row>
        <row r="173">
          <cell r="A173">
            <v>8916</v>
          </cell>
          <cell r="B173">
            <v>15</v>
          </cell>
          <cell r="C173">
            <v>10</v>
          </cell>
          <cell r="D173">
            <v>40</v>
          </cell>
          <cell r="E173">
            <v>5.0339999999999998</v>
          </cell>
        </row>
        <row r="174">
          <cell r="A174">
            <v>5848</v>
          </cell>
          <cell r="B174">
            <v>17</v>
          </cell>
          <cell r="C174">
            <v>10</v>
          </cell>
          <cell r="D174">
            <v>45</v>
          </cell>
          <cell r="E174">
            <v>4.6144999999999996</v>
          </cell>
        </row>
        <row r="175">
          <cell r="A175">
            <v>7584</v>
          </cell>
          <cell r="B175">
            <v>15</v>
          </cell>
          <cell r="C175">
            <v>5</v>
          </cell>
          <cell r="D175">
            <v>35</v>
          </cell>
          <cell r="E175">
            <v>2.72675</v>
          </cell>
        </row>
        <row r="176">
          <cell r="A176">
            <v>3732</v>
          </cell>
          <cell r="B176">
            <v>13</v>
          </cell>
          <cell r="C176">
            <v>55</v>
          </cell>
          <cell r="D176">
            <v>85</v>
          </cell>
          <cell r="E176">
            <v>6.9217499999999994</v>
          </cell>
        </row>
        <row r="177">
          <cell r="A177">
            <v>3733</v>
          </cell>
          <cell r="B177">
            <v>13</v>
          </cell>
          <cell r="C177">
            <v>15</v>
          </cell>
          <cell r="D177">
            <v>35</v>
          </cell>
          <cell r="E177">
            <v>8.1802499999999991</v>
          </cell>
        </row>
        <row r="178">
          <cell r="A178">
            <v>1144</v>
          </cell>
          <cell r="B178" t="str">
            <v>13/14</v>
          </cell>
          <cell r="C178">
            <v>50</v>
          </cell>
          <cell r="D178">
            <v>92</v>
          </cell>
          <cell r="E178">
            <v>3.3559999999999999</v>
          </cell>
        </row>
        <row r="179">
          <cell r="A179">
            <v>4068</v>
          </cell>
          <cell r="B179">
            <v>17</v>
          </cell>
          <cell r="C179">
            <v>70</v>
          </cell>
          <cell r="D179">
            <v>75</v>
          </cell>
          <cell r="E179">
            <v>14.682499999999999</v>
          </cell>
        </row>
        <row r="180">
          <cell r="A180">
            <v>7959</v>
          </cell>
          <cell r="B180">
            <v>15</v>
          </cell>
          <cell r="C180">
            <v>30</v>
          </cell>
          <cell r="D180">
            <v>40</v>
          </cell>
          <cell r="E180">
            <v>15.102</v>
          </cell>
        </row>
        <row r="181">
          <cell r="A181">
            <v>2078</v>
          </cell>
          <cell r="B181">
            <v>14</v>
          </cell>
          <cell r="C181">
            <v>25</v>
          </cell>
          <cell r="D181">
            <v>90</v>
          </cell>
          <cell r="E181">
            <v>2.0975000000000001</v>
          </cell>
        </row>
        <row r="182">
          <cell r="A182">
            <v>6118</v>
          </cell>
          <cell r="B182">
            <v>15</v>
          </cell>
          <cell r="C182">
            <v>45</v>
          </cell>
          <cell r="D182">
            <v>90</v>
          </cell>
          <cell r="E182">
            <v>3.7755000000000001</v>
          </cell>
        </row>
        <row r="183">
          <cell r="C183">
            <v>620</v>
          </cell>
          <cell r="E183">
            <v>87.6755</v>
          </cell>
        </row>
        <row r="184">
          <cell r="A184">
            <v>271</v>
          </cell>
          <cell r="B184">
            <v>15</v>
          </cell>
          <cell r="C184">
            <v>30</v>
          </cell>
          <cell r="D184">
            <v>80</v>
          </cell>
          <cell r="E184">
            <v>5.0339999999999998</v>
          </cell>
        </row>
        <row r="185">
          <cell r="A185">
            <v>3167</v>
          </cell>
          <cell r="B185">
            <v>16</v>
          </cell>
          <cell r="C185">
            <v>25</v>
          </cell>
          <cell r="D185">
            <v>80</v>
          </cell>
          <cell r="E185">
            <v>4.1950000000000003</v>
          </cell>
        </row>
        <row r="186">
          <cell r="A186">
            <v>3728</v>
          </cell>
          <cell r="B186">
            <v>13</v>
          </cell>
          <cell r="C186">
            <v>55</v>
          </cell>
          <cell r="D186">
            <v>50</v>
          </cell>
          <cell r="E186">
            <v>23.072500000000002</v>
          </cell>
        </row>
        <row r="187">
          <cell r="A187">
            <v>5847</v>
          </cell>
          <cell r="B187">
            <v>16</v>
          </cell>
          <cell r="C187">
            <v>40</v>
          </cell>
          <cell r="D187">
            <v>75</v>
          </cell>
          <cell r="E187">
            <v>8.39</v>
          </cell>
        </row>
        <row r="188">
          <cell r="A188">
            <v>4097</v>
          </cell>
          <cell r="B188">
            <v>18</v>
          </cell>
          <cell r="C188">
            <v>25</v>
          </cell>
          <cell r="D188">
            <v>70</v>
          </cell>
          <cell r="E188">
            <v>6.2925000000000004</v>
          </cell>
        </row>
        <row r="189">
          <cell r="A189">
            <v>309</v>
          </cell>
          <cell r="B189">
            <v>13</v>
          </cell>
          <cell r="C189">
            <v>30</v>
          </cell>
          <cell r="D189">
            <v>90</v>
          </cell>
          <cell r="E189">
            <v>2.5169999999999999</v>
          </cell>
        </row>
        <row r="190">
          <cell r="A190">
            <v>6138</v>
          </cell>
          <cell r="B190">
            <v>18</v>
          </cell>
          <cell r="C190">
            <v>60</v>
          </cell>
          <cell r="D190">
            <v>45</v>
          </cell>
          <cell r="E190">
            <v>27.686999999999998</v>
          </cell>
        </row>
        <row r="191">
          <cell r="A191">
            <v>3184</v>
          </cell>
          <cell r="B191">
            <v>15</v>
          </cell>
          <cell r="C191">
            <v>45</v>
          </cell>
          <cell r="D191">
            <v>70</v>
          </cell>
          <cell r="E191">
            <v>11.326499999999999</v>
          </cell>
        </row>
        <row r="192">
          <cell r="A192">
            <v>672</v>
          </cell>
          <cell r="B192">
            <v>16</v>
          </cell>
          <cell r="C192">
            <v>40</v>
          </cell>
          <cell r="D192">
            <v>90</v>
          </cell>
          <cell r="E192">
            <v>3.3559999999999999</v>
          </cell>
        </row>
        <row r="193">
          <cell r="A193">
            <v>7041</v>
          </cell>
          <cell r="B193">
            <v>13</v>
          </cell>
          <cell r="C193">
            <v>45</v>
          </cell>
          <cell r="D193">
            <v>80</v>
          </cell>
          <cell r="E193">
            <v>7.5510000000000002</v>
          </cell>
        </row>
        <row r="194">
          <cell r="A194">
            <v>8059</v>
          </cell>
          <cell r="B194">
            <v>13</v>
          </cell>
          <cell r="C194">
            <v>20</v>
          </cell>
          <cell r="D194">
            <v>40</v>
          </cell>
          <cell r="E194">
            <v>10.068</v>
          </cell>
        </row>
        <row r="195">
          <cell r="C195">
            <v>415</v>
          </cell>
          <cell r="E195">
            <v>109.48950000000001</v>
          </cell>
        </row>
        <row r="196">
          <cell r="A196">
            <v>3203</v>
          </cell>
          <cell r="B196">
            <v>14</v>
          </cell>
          <cell r="C196">
            <v>40</v>
          </cell>
          <cell r="D196">
            <v>95</v>
          </cell>
          <cell r="E196">
            <v>1.6779999999999999</v>
          </cell>
        </row>
        <row r="197">
          <cell r="A197">
            <v>6169</v>
          </cell>
          <cell r="B197">
            <v>14</v>
          </cell>
          <cell r="C197">
            <v>10</v>
          </cell>
          <cell r="D197">
            <v>35</v>
          </cell>
          <cell r="E197">
            <v>5.4535</v>
          </cell>
        </row>
        <row r="198">
          <cell r="A198">
            <v>2762</v>
          </cell>
          <cell r="B198">
            <v>13</v>
          </cell>
          <cell r="C198">
            <v>25</v>
          </cell>
          <cell r="D198">
            <v>40</v>
          </cell>
          <cell r="E198">
            <v>12.585000000000001</v>
          </cell>
        </row>
        <row r="199">
          <cell r="A199">
            <v>5934</v>
          </cell>
          <cell r="B199">
            <v>15</v>
          </cell>
          <cell r="C199">
            <v>15</v>
          </cell>
          <cell r="D199">
            <v>85</v>
          </cell>
          <cell r="E199">
            <v>1.88775</v>
          </cell>
        </row>
        <row r="200">
          <cell r="A200">
            <v>4108</v>
          </cell>
          <cell r="B200">
            <v>17</v>
          </cell>
          <cell r="C200">
            <v>45</v>
          </cell>
          <cell r="D200">
            <v>85</v>
          </cell>
          <cell r="E200">
            <v>5.6632499999999997</v>
          </cell>
        </row>
        <row r="201">
          <cell r="A201">
            <v>5803</v>
          </cell>
          <cell r="B201">
            <v>17</v>
          </cell>
          <cell r="C201">
            <v>50</v>
          </cell>
          <cell r="D201">
            <v>60</v>
          </cell>
          <cell r="E201">
            <v>16.78</v>
          </cell>
        </row>
        <row r="202">
          <cell r="A202">
            <v>4742</v>
          </cell>
          <cell r="B202">
            <v>13</v>
          </cell>
          <cell r="C202">
            <v>30</v>
          </cell>
          <cell r="D202">
            <v>60</v>
          </cell>
          <cell r="E202">
            <v>10.068</v>
          </cell>
        </row>
        <row r="203">
          <cell r="A203">
            <v>3233</v>
          </cell>
          <cell r="B203">
            <v>16</v>
          </cell>
          <cell r="C203">
            <v>25</v>
          </cell>
          <cell r="D203">
            <v>40</v>
          </cell>
          <cell r="E203">
            <v>12.585000000000001</v>
          </cell>
        </row>
        <row r="204">
          <cell r="A204">
            <v>4230</v>
          </cell>
          <cell r="B204">
            <v>14</v>
          </cell>
          <cell r="C204">
            <v>70</v>
          </cell>
          <cell r="D204">
            <v>95</v>
          </cell>
          <cell r="E204">
            <v>2.9364999999999997</v>
          </cell>
        </row>
        <row r="205">
          <cell r="A205">
            <v>2761</v>
          </cell>
          <cell r="B205">
            <v>15</v>
          </cell>
          <cell r="C205">
            <v>20</v>
          </cell>
          <cell r="D205">
            <v>85</v>
          </cell>
          <cell r="E205">
            <v>2.5169999999999999</v>
          </cell>
        </row>
        <row r="206">
          <cell r="A206">
            <v>3204</v>
          </cell>
          <cell r="B206">
            <v>15</v>
          </cell>
          <cell r="C206">
            <v>50</v>
          </cell>
          <cell r="D206">
            <v>85</v>
          </cell>
          <cell r="E206">
            <v>6.2925000000000004</v>
          </cell>
        </row>
        <row r="207">
          <cell r="A207">
            <v>4953</v>
          </cell>
          <cell r="B207">
            <v>13</v>
          </cell>
          <cell r="C207">
            <v>15</v>
          </cell>
          <cell r="D207">
            <v>60</v>
          </cell>
          <cell r="E207">
            <v>5.0339999999999998</v>
          </cell>
        </row>
        <row r="208">
          <cell r="A208">
            <v>3622</v>
          </cell>
          <cell r="B208">
            <v>13</v>
          </cell>
          <cell r="C208">
            <v>30</v>
          </cell>
          <cell r="D208">
            <v>80</v>
          </cell>
          <cell r="E208">
            <v>5.0339999999999998</v>
          </cell>
        </row>
        <row r="209">
          <cell r="A209">
            <v>5862</v>
          </cell>
          <cell r="B209">
            <v>13</v>
          </cell>
          <cell r="C209">
            <v>30</v>
          </cell>
          <cell r="D209">
            <v>60</v>
          </cell>
          <cell r="E209">
            <v>10.068</v>
          </cell>
        </row>
        <row r="210">
          <cell r="A210">
            <v>6082</v>
          </cell>
          <cell r="B210">
            <v>18</v>
          </cell>
          <cell r="C210">
            <v>100</v>
          </cell>
          <cell r="D210">
            <v>99</v>
          </cell>
          <cell r="E210">
            <v>0.83899999999999997</v>
          </cell>
        </row>
        <row r="211">
          <cell r="C211">
            <v>555</v>
          </cell>
          <cell r="E211">
            <v>99.421500000000009</v>
          </cell>
        </row>
        <row r="212">
          <cell r="A212">
            <v>4666</v>
          </cell>
          <cell r="B212">
            <v>13</v>
          </cell>
          <cell r="C212">
            <v>40</v>
          </cell>
          <cell r="D212">
            <v>40</v>
          </cell>
          <cell r="E212">
            <v>20.135999999999999</v>
          </cell>
        </row>
        <row r="213">
          <cell r="A213">
            <v>3236</v>
          </cell>
          <cell r="B213">
            <v>16</v>
          </cell>
          <cell r="C213">
            <v>75</v>
          </cell>
          <cell r="D213">
            <v>85</v>
          </cell>
          <cell r="E213">
            <v>9.4387500000000006</v>
          </cell>
        </row>
        <row r="214">
          <cell r="A214">
            <v>4114</v>
          </cell>
          <cell r="B214">
            <v>16</v>
          </cell>
          <cell r="C214">
            <v>15</v>
          </cell>
          <cell r="D214">
            <v>80</v>
          </cell>
          <cell r="E214">
            <v>2.5169999999999999</v>
          </cell>
        </row>
        <row r="215">
          <cell r="A215">
            <v>4118</v>
          </cell>
          <cell r="B215">
            <v>17</v>
          </cell>
          <cell r="C215">
            <v>30</v>
          </cell>
          <cell r="D215">
            <v>70</v>
          </cell>
          <cell r="E215">
            <v>7.5510000000000002</v>
          </cell>
        </row>
        <row r="216">
          <cell r="A216">
            <v>2759</v>
          </cell>
          <cell r="B216">
            <v>15</v>
          </cell>
          <cell r="C216">
            <v>30</v>
          </cell>
          <cell r="D216">
            <v>85</v>
          </cell>
          <cell r="E216">
            <v>3.7755000000000001</v>
          </cell>
        </row>
        <row r="217">
          <cell r="A217">
            <v>216</v>
          </cell>
          <cell r="B217">
            <v>17</v>
          </cell>
          <cell r="C217">
            <v>45</v>
          </cell>
          <cell r="D217">
            <v>95</v>
          </cell>
          <cell r="E217">
            <v>1.88775</v>
          </cell>
        </row>
        <row r="218">
          <cell r="A218">
            <v>4688</v>
          </cell>
          <cell r="B218">
            <v>14</v>
          </cell>
          <cell r="C218">
            <v>100</v>
          </cell>
          <cell r="D218">
            <v>94</v>
          </cell>
          <cell r="E218">
            <v>5.0339999999999998</v>
          </cell>
        </row>
        <row r="219">
          <cell r="A219">
            <v>5981</v>
          </cell>
          <cell r="B219">
            <v>16</v>
          </cell>
          <cell r="C219">
            <v>70</v>
          </cell>
          <cell r="D219">
            <v>90</v>
          </cell>
          <cell r="E219">
            <v>5.8729999999999993</v>
          </cell>
        </row>
        <row r="220">
          <cell r="A220">
            <v>3238</v>
          </cell>
          <cell r="B220">
            <v>16</v>
          </cell>
          <cell r="C220">
            <v>20</v>
          </cell>
          <cell r="D220">
            <v>85</v>
          </cell>
          <cell r="E220">
            <v>2.5169999999999999</v>
          </cell>
        </row>
        <row r="221">
          <cell r="C221">
            <v>425</v>
          </cell>
          <cell r="E221">
            <v>58.730000000000004</v>
          </cell>
        </row>
        <row r="222">
          <cell r="A222">
            <v>1184</v>
          </cell>
          <cell r="B222">
            <v>14</v>
          </cell>
          <cell r="C222">
            <v>50</v>
          </cell>
          <cell r="D222">
            <v>95</v>
          </cell>
          <cell r="E222">
            <v>2.0975000000000001</v>
          </cell>
        </row>
        <row r="223">
          <cell r="A223">
            <v>3206</v>
          </cell>
          <cell r="B223">
            <v>14</v>
          </cell>
          <cell r="C223">
            <v>60</v>
          </cell>
          <cell r="D223">
            <v>92</v>
          </cell>
          <cell r="E223">
            <v>4.0271999999999997</v>
          </cell>
        </row>
        <row r="224">
          <cell r="A224">
            <v>6167</v>
          </cell>
          <cell r="B224">
            <v>17</v>
          </cell>
          <cell r="C224">
            <v>60</v>
          </cell>
          <cell r="D224">
            <v>85</v>
          </cell>
          <cell r="E224">
            <v>7.5510000000000002</v>
          </cell>
        </row>
        <row r="225">
          <cell r="A225">
            <v>5828</v>
          </cell>
          <cell r="B225">
            <v>14</v>
          </cell>
          <cell r="C225">
            <v>20</v>
          </cell>
          <cell r="D225">
            <v>90</v>
          </cell>
          <cell r="E225">
            <v>1.6779999999999999</v>
          </cell>
        </row>
        <row r="226">
          <cell r="A226">
            <v>6088</v>
          </cell>
          <cell r="B226">
            <v>17</v>
          </cell>
          <cell r="C226">
            <v>65</v>
          </cell>
          <cell r="D226">
            <v>90</v>
          </cell>
          <cell r="E226">
            <v>5.4535</v>
          </cell>
        </row>
        <row r="227">
          <cell r="A227">
            <v>7567</v>
          </cell>
          <cell r="B227">
            <v>13</v>
          </cell>
          <cell r="C227">
            <v>25</v>
          </cell>
          <cell r="D227">
            <v>75</v>
          </cell>
          <cell r="E227">
            <v>5.2437500000000004</v>
          </cell>
        </row>
        <row r="228">
          <cell r="A228">
            <v>2911</v>
          </cell>
          <cell r="B228">
            <v>13</v>
          </cell>
          <cell r="C228">
            <v>25</v>
          </cell>
          <cell r="D228">
            <v>40</v>
          </cell>
          <cell r="E228">
            <v>12.585000000000001</v>
          </cell>
        </row>
        <row r="229">
          <cell r="A229">
            <v>6089</v>
          </cell>
          <cell r="B229">
            <v>17</v>
          </cell>
          <cell r="C229">
            <v>35</v>
          </cell>
          <cell r="D229">
            <v>60</v>
          </cell>
          <cell r="E229">
            <v>11.745999999999999</v>
          </cell>
        </row>
        <row r="230">
          <cell r="A230">
            <v>6043</v>
          </cell>
          <cell r="B230">
            <v>18</v>
          </cell>
          <cell r="C230">
            <v>30</v>
          </cell>
          <cell r="D230">
            <v>35</v>
          </cell>
          <cell r="E230">
            <v>16.360499999999998</v>
          </cell>
        </row>
        <row r="231">
          <cell r="C231">
            <v>370</v>
          </cell>
          <cell r="E231">
            <v>66.742450000000005</v>
          </cell>
        </row>
        <row r="232">
          <cell r="A232">
            <v>518</v>
          </cell>
          <cell r="B232">
            <v>15</v>
          </cell>
          <cell r="C232">
            <v>75</v>
          </cell>
          <cell r="D232">
            <v>90</v>
          </cell>
          <cell r="E232">
            <v>6.2925000000000004</v>
          </cell>
        </row>
        <row r="233">
          <cell r="A233">
            <v>2113</v>
          </cell>
          <cell r="B233">
            <v>14</v>
          </cell>
          <cell r="C233">
            <v>60</v>
          </cell>
          <cell r="D233">
            <v>95</v>
          </cell>
          <cell r="E233">
            <v>2.5169999999999999</v>
          </cell>
        </row>
        <row r="234">
          <cell r="A234">
            <v>6044</v>
          </cell>
          <cell r="B234">
            <v>17</v>
          </cell>
          <cell r="C234">
            <v>35</v>
          </cell>
          <cell r="D234">
            <v>90</v>
          </cell>
          <cell r="E234">
            <v>2.9364999999999997</v>
          </cell>
        </row>
        <row r="235">
          <cell r="A235">
            <v>376</v>
          </cell>
          <cell r="B235">
            <v>18</v>
          </cell>
          <cell r="C235">
            <v>60</v>
          </cell>
          <cell r="D235">
            <v>95</v>
          </cell>
          <cell r="E235">
            <v>2.5169999999999999</v>
          </cell>
        </row>
        <row r="236">
          <cell r="A236">
            <v>2763</v>
          </cell>
          <cell r="B236">
            <v>15</v>
          </cell>
          <cell r="C236">
            <v>35</v>
          </cell>
          <cell r="D236">
            <v>85</v>
          </cell>
          <cell r="E236">
            <v>4.4047499999999999</v>
          </cell>
        </row>
        <row r="237">
          <cell r="A237">
            <v>7933</v>
          </cell>
          <cell r="B237">
            <v>13</v>
          </cell>
          <cell r="C237">
            <v>15</v>
          </cell>
          <cell r="D237">
            <v>35</v>
          </cell>
          <cell r="E237">
            <v>8.1802499999999991</v>
          </cell>
        </row>
        <row r="238">
          <cell r="A238">
            <v>4102</v>
          </cell>
          <cell r="B238">
            <v>13</v>
          </cell>
          <cell r="C238">
            <v>30</v>
          </cell>
          <cell r="D238">
            <v>90</v>
          </cell>
          <cell r="E238">
            <v>2.5169999999999999</v>
          </cell>
        </row>
        <row r="239">
          <cell r="A239">
            <v>221</v>
          </cell>
          <cell r="B239">
            <v>15</v>
          </cell>
          <cell r="C239">
            <v>20</v>
          </cell>
          <cell r="D239">
            <v>80</v>
          </cell>
          <cell r="E239">
            <v>3.3559999999999999</v>
          </cell>
        </row>
        <row r="240">
          <cell r="A240">
            <v>6124</v>
          </cell>
          <cell r="B240">
            <v>18</v>
          </cell>
          <cell r="C240">
            <v>60</v>
          </cell>
          <cell r="D240">
            <v>85</v>
          </cell>
          <cell r="E240">
            <v>7.5510000000000002</v>
          </cell>
        </row>
        <row r="241">
          <cell r="A241">
            <v>5293</v>
          </cell>
          <cell r="B241">
            <v>13</v>
          </cell>
          <cell r="C241">
            <v>20</v>
          </cell>
          <cell r="D241">
            <v>85</v>
          </cell>
          <cell r="E241">
            <v>2.5169999999999999</v>
          </cell>
        </row>
        <row r="242">
          <cell r="A242">
            <v>314</v>
          </cell>
          <cell r="B242">
            <v>18</v>
          </cell>
          <cell r="C242">
            <v>80</v>
          </cell>
          <cell r="D242">
            <v>93</v>
          </cell>
          <cell r="E242">
            <v>4.6983999999999995</v>
          </cell>
        </row>
        <row r="243">
          <cell r="A243">
            <v>3629</v>
          </cell>
          <cell r="B243">
            <v>15</v>
          </cell>
          <cell r="C243">
            <v>40</v>
          </cell>
          <cell r="D243">
            <v>85</v>
          </cell>
          <cell r="E243">
            <v>5.0339999999999998</v>
          </cell>
        </row>
        <row r="244">
          <cell r="A244">
            <v>4103</v>
          </cell>
          <cell r="B244">
            <v>16</v>
          </cell>
          <cell r="C244">
            <v>60</v>
          </cell>
          <cell r="D244">
            <v>95</v>
          </cell>
          <cell r="E244">
            <v>2.5169999999999999</v>
          </cell>
        </row>
        <row r="245">
          <cell r="A245">
            <v>8917</v>
          </cell>
          <cell r="B245">
            <v>15</v>
          </cell>
          <cell r="C245">
            <v>40</v>
          </cell>
          <cell r="D245">
            <v>45</v>
          </cell>
          <cell r="E245">
            <v>18.457999999999998</v>
          </cell>
        </row>
        <row r="246">
          <cell r="A246">
            <v>2731</v>
          </cell>
          <cell r="B246">
            <v>14</v>
          </cell>
          <cell r="C246">
            <v>20</v>
          </cell>
          <cell r="D246">
            <v>35</v>
          </cell>
          <cell r="E246">
            <v>10.907</v>
          </cell>
        </row>
        <row r="247">
          <cell r="A247">
            <v>6458</v>
          </cell>
          <cell r="B247">
            <v>18</v>
          </cell>
          <cell r="C247">
            <v>80</v>
          </cell>
          <cell r="D247">
            <v>95</v>
          </cell>
          <cell r="E247">
            <v>3.3559999999999999</v>
          </cell>
        </row>
        <row r="248">
          <cell r="C248">
            <v>730</v>
          </cell>
          <cell r="E248">
            <v>87.759399999999985</v>
          </cell>
        </row>
        <row r="249">
          <cell r="A249">
            <v>7581</v>
          </cell>
          <cell r="B249">
            <v>17</v>
          </cell>
          <cell r="C249">
            <v>70</v>
          </cell>
          <cell r="D249">
            <v>85</v>
          </cell>
          <cell r="E249">
            <v>8.8094999999999999</v>
          </cell>
        </row>
        <row r="250">
          <cell r="A250">
            <v>75</v>
          </cell>
          <cell r="B250">
            <v>17</v>
          </cell>
          <cell r="C250">
            <v>60</v>
          </cell>
          <cell r="D250">
            <v>90</v>
          </cell>
          <cell r="E250">
            <v>5.0339999999999998</v>
          </cell>
        </row>
        <row r="251">
          <cell r="A251">
            <v>144</v>
          </cell>
          <cell r="B251">
            <v>16</v>
          </cell>
          <cell r="C251">
            <v>40</v>
          </cell>
          <cell r="D251">
            <v>90</v>
          </cell>
          <cell r="E251">
            <v>3.3559999999999999</v>
          </cell>
          <cell r="I251">
            <v>100</v>
          </cell>
          <cell r="J251">
            <v>130</v>
          </cell>
          <cell r="K251">
            <v>33.56</v>
          </cell>
        </row>
        <row r="252">
          <cell r="A252">
            <v>519</v>
          </cell>
          <cell r="B252">
            <v>13</v>
          </cell>
          <cell r="C252">
            <v>40</v>
          </cell>
          <cell r="D252">
            <v>40</v>
          </cell>
          <cell r="E252">
            <v>20.135999999999999</v>
          </cell>
        </row>
        <row r="253">
          <cell r="A253">
            <v>6444</v>
          </cell>
          <cell r="B253">
            <v>13</v>
          </cell>
          <cell r="C253">
            <v>30</v>
          </cell>
          <cell r="D253">
            <v>80</v>
          </cell>
          <cell r="E253">
            <v>5.0339999999999998</v>
          </cell>
        </row>
        <row r="254">
          <cell r="A254">
            <v>284</v>
          </cell>
          <cell r="B254">
            <v>17</v>
          </cell>
          <cell r="C254">
            <v>40</v>
          </cell>
          <cell r="D254">
            <v>95</v>
          </cell>
          <cell r="E254">
            <v>1.6779999999999999</v>
          </cell>
        </row>
        <row r="255">
          <cell r="A255">
            <v>2116</v>
          </cell>
          <cell r="B255">
            <v>13</v>
          </cell>
          <cell r="C255">
            <v>30</v>
          </cell>
          <cell r="D255">
            <v>40</v>
          </cell>
          <cell r="E255">
            <v>15.102</v>
          </cell>
        </row>
        <row r="256">
          <cell r="A256">
            <v>4631</v>
          </cell>
          <cell r="B256">
            <v>17</v>
          </cell>
          <cell r="C256">
            <v>50</v>
          </cell>
          <cell r="D256">
            <v>85</v>
          </cell>
          <cell r="E256">
            <v>6.2925000000000004</v>
          </cell>
        </row>
        <row r="257">
          <cell r="A257">
            <v>2114</v>
          </cell>
          <cell r="B257">
            <v>13</v>
          </cell>
          <cell r="C257">
            <v>10</v>
          </cell>
          <cell r="D257">
            <v>70</v>
          </cell>
          <cell r="E257">
            <v>2.5169999999999999</v>
          </cell>
        </row>
        <row r="258">
          <cell r="C258">
            <v>370</v>
          </cell>
          <cell r="E258">
            <v>67.958999999999989</v>
          </cell>
        </row>
        <row r="259">
          <cell r="A259">
            <v>3618</v>
          </cell>
          <cell r="B259">
            <v>16</v>
          </cell>
          <cell r="C259">
            <v>45</v>
          </cell>
          <cell r="D259">
            <v>95</v>
          </cell>
          <cell r="E259">
            <v>1.88775</v>
          </cell>
        </row>
        <row r="260">
          <cell r="A260">
            <v>2969</v>
          </cell>
          <cell r="B260">
            <v>15</v>
          </cell>
          <cell r="C260">
            <v>40</v>
          </cell>
          <cell r="D260">
            <v>90</v>
          </cell>
          <cell r="E260">
            <v>3.3559999999999999</v>
          </cell>
        </row>
        <row r="261">
          <cell r="A261">
            <v>2927</v>
          </cell>
          <cell r="B261">
            <v>14</v>
          </cell>
          <cell r="C261">
            <v>10</v>
          </cell>
          <cell r="D261">
            <v>50</v>
          </cell>
          <cell r="E261">
            <v>4.1950000000000003</v>
          </cell>
        </row>
        <row r="262">
          <cell r="A262">
            <v>8777</v>
          </cell>
          <cell r="B262">
            <v>13</v>
          </cell>
          <cell r="C262">
            <v>15</v>
          </cell>
          <cell r="D262">
            <v>90</v>
          </cell>
          <cell r="E262">
            <v>1.2585</v>
          </cell>
        </row>
        <row r="263">
          <cell r="A263">
            <v>5944</v>
          </cell>
          <cell r="B263">
            <v>15</v>
          </cell>
          <cell r="C263">
            <v>100</v>
          </cell>
          <cell r="D263">
            <v>98</v>
          </cell>
          <cell r="E263">
            <v>1.6779999999999999</v>
          </cell>
        </row>
        <row r="264">
          <cell r="A264">
            <v>3828</v>
          </cell>
          <cell r="B264">
            <v>14</v>
          </cell>
          <cell r="C264">
            <v>30</v>
          </cell>
          <cell r="D264">
            <v>60</v>
          </cell>
          <cell r="E264">
            <v>10.068</v>
          </cell>
        </row>
        <row r="265">
          <cell r="A265">
            <v>3838</v>
          </cell>
          <cell r="B265">
            <v>16</v>
          </cell>
          <cell r="C265">
            <v>20</v>
          </cell>
          <cell r="D265">
            <v>75</v>
          </cell>
          <cell r="E265">
            <v>4.1950000000000003</v>
          </cell>
        </row>
        <row r="266">
          <cell r="A266">
            <v>546</v>
          </cell>
          <cell r="B266" t="str">
            <v>15/16</v>
          </cell>
          <cell r="C266">
            <v>60</v>
          </cell>
          <cell r="D266">
            <v>95</v>
          </cell>
          <cell r="E266">
            <v>2.5169999999999999</v>
          </cell>
        </row>
        <row r="267">
          <cell r="A267">
            <v>2729</v>
          </cell>
          <cell r="B267">
            <v>13</v>
          </cell>
          <cell r="C267">
            <v>70</v>
          </cell>
          <cell r="D267">
            <v>90</v>
          </cell>
          <cell r="E267">
            <v>5.8729999999999993</v>
          </cell>
        </row>
        <row r="268">
          <cell r="A268">
            <v>3261</v>
          </cell>
          <cell r="B268">
            <v>13</v>
          </cell>
          <cell r="C268">
            <v>40</v>
          </cell>
          <cell r="D268">
            <v>40</v>
          </cell>
          <cell r="E268">
            <v>20.135999999999999</v>
          </cell>
        </row>
        <row r="269">
          <cell r="A269">
            <v>526</v>
          </cell>
          <cell r="B269">
            <v>15</v>
          </cell>
          <cell r="C269">
            <v>60</v>
          </cell>
          <cell r="D269">
            <v>40</v>
          </cell>
          <cell r="E269">
            <v>30.204000000000001</v>
          </cell>
        </row>
        <row r="270">
          <cell r="A270">
            <v>6456</v>
          </cell>
          <cell r="B270">
            <v>14</v>
          </cell>
          <cell r="C270">
            <v>50</v>
          </cell>
          <cell r="D270">
            <v>60</v>
          </cell>
          <cell r="E270">
            <v>16.78</v>
          </cell>
        </row>
        <row r="271">
          <cell r="A271">
            <v>8755</v>
          </cell>
          <cell r="B271">
            <v>16</v>
          </cell>
          <cell r="C271">
            <v>10</v>
          </cell>
          <cell r="D271">
            <v>40</v>
          </cell>
          <cell r="E271">
            <v>5.0339999999999998</v>
          </cell>
        </row>
        <row r="272">
          <cell r="A272">
            <v>5052</v>
          </cell>
          <cell r="B272">
            <v>14</v>
          </cell>
          <cell r="C272">
            <v>55</v>
          </cell>
          <cell r="D272">
            <v>90</v>
          </cell>
          <cell r="E272">
            <v>4.6144999999999996</v>
          </cell>
        </row>
        <row r="273">
          <cell r="A273">
            <v>2926</v>
          </cell>
          <cell r="B273">
            <v>14</v>
          </cell>
          <cell r="C273">
            <v>30</v>
          </cell>
          <cell r="D273">
            <v>90</v>
          </cell>
          <cell r="E273">
            <v>2.5169999999999999</v>
          </cell>
        </row>
        <row r="274">
          <cell r="A274">
            <v>4689</v>
          </cell>
          <cell r="B274">
            <v>16</v>
          </cell>
          <cell r="C274">
            <v>25</v>
          </cell>
          <cell r="D274">
            <v>80</v>
          </cell>
          <cell r="E274">
            <v>4.1950000000000003</v>
          </cell>
        </row>
        <row r="275">
          <cell r="C275">
            <v>660</v>
          </cell>
          <cell r="E275">
            <v>118.50874999999999</v>
          </cell>
        </row>
        <row r="276">
          <cell r="A276">
            <v>521</v>
          </cell>
          <cell r="B276">
            <v>13</v>
          </cell>
          <cell r="C276">
            <v>15</v>
          </cell>
          <cell r="D276">
            <v>40</v>
          </cell>
          <cell r="E276">
            <v>7.5510000000000002</v>
          </cell>
        </row>
        <row r="277">
          <cell r="A277">
            <v>3201</v>
          </cell>
          <cell r="B277">
            <v>16</v>
          </cell>
          <cell r="C277">
            <v>60</v>
          </cell>
          <cell r="D277">
            <v>90</v>
          </cell>
          <cell r="E277">
            <v>5.0339999999999998</v>
          </cell>
        </row>
        <row r="278">
          <cell r="A278">
            <v>4104</v>
          </cell>
          <cell r="B278">
            <v>17</v>
          </cell>
          <cell r="C278">
            <v>75</v>
          </cell>
          <cell r="D278">
            <v>90</v>
          </cell>
          <cell r="E278">
            <v>6.2925000000000004</v>
          </cell>
        </row>
        <row r="279">
          <cell r="A279">
            <v>4741</v>
          </cell>
          <cell r="B279">
            <v>14</v>
          </cell>
          <cell r="C279">
            <v>30</v>
          </cell>
          <cell r="D279">
            <v>80</v>
          </cell>
          <cell r="E279">
            <v>5.0339999999999998</v>
          </cell>
        </row>
        <row r="280">
          <cell r="A280">
            <v>6814</v>
          </cell>
          <cell r="B280">
            <v>13</v>
          </cell>
          <cell r="C280">
            <v>30</v>
          </cell>
          <cell r="D280">
            <v>60</v>
          </cell>
          <cell r="E280">
            <v>10.068</v>
          </cell>
        </row>
        <row r="281">
          <cell r="A281">
            <v>3661</v>
          </cell>
          <cell r="B281">
            <v>14</v>
          </cell>
          <cell r="C281">
            <v>120</v>
          </cell>
          <cell r="D281">
            <v>98</v>
          </cell>
          <cell r="E281">
            <v>2.0135999999999998</v>
          </cell>
        </row>
        <row r="282">
          <cell r="A282">
            <v>4425</v>
          </cell>
          <cell r="B282">
            <v>14</v>
          </cell>
          <cell r="C282">
            <v>60</v>
          </cell>
          <cell r="D282">
            <v>85</v>
          </cell>
          <cell r="E282">
            <v>7.5510000000000002</v>
          </cell>
        </row>
        <row r="283">
          <cell r="A283">
            <v>5599</v>
          </cell>
          <cell r="B283">
            <v>14</v>
          </cell>
          <cell r="C283">
            <v>60</v>
          </cell>
          <cell r="D283">
            <v>85</v>
          </cell>
          <cell r="E283">
            <v>7.5510000000000002</v>
          </cell>
        </row>
        <row r="284">
          <cell r="A284">
            <v>5043</v>
          </cell>
          <cell r="B284">
            <v>13</v>
          </cell>
          <cell r="C284">
            <v>35</v>
          </cell>
          <cell r="D284">
            <v>60</v>
          </cell>
          <cell r="E284">
            <v>11.745999999999999</v>
          </cell>
        </row>
        <row r="285">
          <cell r="A285">
            <v>6026</v>
          </cell>
          <cell r="B285">
            <v>17</v>
          </cell>
          <cell r="C285">
            <v>20</v>
          </cell>
          <cell r="D285">
            <v>90</v>
          </cell>
          <cell r="E285">
            <v>1.6779999999999999</v>
          </cell>
        </row>
        <row r="286">
          <cell r="A286">
            <v>6816</v>
          </cell>
          <cell r="B286">
            <v>13</v>
          </cell>
          <cell r="C286">
            <v>30</v>
          </cell>
          <cell r="D286">
            <v>60</v>
          </cell>
          <cell r="E286">
            <v>10.068</v>
          </cell>
        </row>
        <row r="287">
          <cell r="A287">
            <v>4854</v>
          </cell>
          <cell r="B287">
            <v>16</v>
          </cell>
          <cell r="C287">
            <v>45</v>
          </cell>
          <cell r="D287">
            <v>90</v>
          </cell>
          <cell r="E287">
            <v>3.7755000000000001</v>
          </cell>
        </row>
        <row r="288">
          <cell r="A288">
            <v>8937</v>
          </cell>
          <cell r="B288">
            <v>13</v>
          </cell>
          <cell r="C288">
            <v>15</v>
          </cell>
          <cell r="D288">
            <v>30</v>
          </cell>
          <cell r="E288">
            <v>8.8094999999999999</v>
          </cell>
        </row>
        <row r="289">
          <cell r="A289">
            <v>1187</v>
          </cell>
          <cell r="B289">
            <v>14</v>
          </cell>
          <cell r="C289">
            <v>40</v>
          </cell>
          <cell r="D289">
            <v>80</v>
          </cell>
          <cell r="E289">
            <v>6.7119999999999997</v>
          </cell>
        </row>
        <row r="290">
          <cell r="A290">
            <v>4764</v>
          </cell>
          <cell r="B290">
            <v>14</v>
          </cell>
          <cell r="C290">
            <v>30</v>
          </cell>
          <cell r="D290">
            <v>50</v>
          </cell>
          <cell r="E290">
            <v>12.585000000000001</v>
          </cell>
        </row>
        <row r="291">
          <cell r="A291">
            <v>3621</v>
          </cell>
          <cell r="B291">
            <v>13</v>
          </cell>
          <cell r="C291">
            <v>25</v>
          </cell>
          <cell r="D291">
            <v>40</v>
          </cell>
          <cell r="E291">
            <v>12.585000000000001</v>
          </cell>
        </row>
        <row r="292">
          <cell r="C292">
            <v>690</v>
          </cell>
          <cell r="E292">
            <v>119.05410000000001</v>
          </cell>
        </row>
        <row r="293">
          <cell r="A293">
            <v>4218</v>
          </cell>
          <cell r="B293">
            <v>13</v>
          </cell>
          <cell r="C293">
            <v>30</v>
          </cell>
          <cell r="D293">
            <v>85</v>
          </cell>
          <cell r="E293">
            <v>3.7755000000000001</v>
          </cell>
        </row>
        <row r="294">
          <cell r="A294">
            <v>2466</v>
          </cell>
          <cell r="B294">
            <v>14</v>
          </cell>
          <cell r="C294">
            <v>60</v>
          </cell>
          <cell r="D294">
            <v>95</v>
          </cell>
          <cell r="E294">
            <v>2.5169999999999999</v>
          </cell>
        </row>
        <row r="295">
          <cell r="A295">
            <v>5718</v>
          </cell>
          <cell r="B295">
            <v>13</v>
          </cell>
          <cell r="C295">
            <v>10</v>
          </cell>
          <cell r="D295">
            <v>60</v>
          </cell>
          <cell r="E295">
            <v>3.3559999999999999</v>
          </cell>
        </row>
        <row r="296">
          <cell r="A296">
            <v>4774</v>
          </cell>
          <cell r="B296">
            <v>15</v>
          </cell>
          <cell r="C296">
            <v>40</v>
          </cell>
          <cell r="D296">
            <v>70</v>
          </cell>
          <cell r="E296">
            <v>10.068</v>
          </cell>
        </row>
        <row r="297">
          <cell r="A297">
            <v>1188</v>
          </cell>
          <cell r="B297">
            <v>13</v>
          </cell>
          <cell r="C297">
            <v>15</v>
          </cell>
          <cell r="D297">
            <v>80</v>
          </cell>
          <cell r="E297">
            <v>2.5169999999999999</v>
          </cell>
        </row>
        <row r="298">
          <cell r="A298">
            <v>3197</v>
          </cell>
          <cell r="B298">
            <v>14</v>
          </cell>
          <cell r="C298">
            <v>20</v>
          </cell>
          <cell r="D298">
            <v>90</v>
          </cell>
          <cell r="E298">
            <v>1.6779999999999999</v>
          </cell>
        </row>
        <row r="299">
          <cell r="A299">
            <v>4776</v>
          </cell>
          <cell r="B299">
            <v>13</v>
          </cell>
          <cell r="C299">
            <v>25</v>
          </cell>
          <cell r="D299">
            <v>90</v>
          </cell>
          <cell r="E299">
            <v>2.0975000000000001</v>
          </cell>
          <cell r="H299">
            <v>125</v>
          </cell>
          <cell r="I299">
            <v>255</v>
          </cell>
          <cell r="J299">
            <v>14.263</v>
          </cell>
        </row>
        <row r="300">
          <cell r="A300">
            <v>5292</v>
          </cell>
          <cell r="B300">
            <v>14</v>
          </cell>
          <cell r="C300">
            <v>50</v>
          </cell>
          <cell r="D300">
            <v>50</v>
          </cell>
          <cell r="E300">
            <v>20.975000000000001</v>
          </cell>
        </row>
        <row r="301">
          <cell r="A301">
            <v>2118</v>
          </cell>
          <cell r="B301">
            <v>14</v>
          </cell>
          <cell r="C301">
            <v>40</v>
          </cell>
          <cell r="D301">
            <v>95</v>
          </cell>
          <cell r="E301">
            <v>1.6779999999999999</v>
          </cell>
        </row>
        <row r="302">
          <cell r="A302">
            <v>4857</v>
          </cell>
          <cell r="B302">
            <v>15</v>
          </cell>
          <cell r="C302">
            <v>50</v>
          </cell>
          <cell r="D302">
            <v>90</v>
          </cell>
          <cell r="E302">
            <v>4.1950000000000003</v>
          </cell>
        </row>
        <row r="303">
          <cell r="A303">
            <v>523</v>
          </cell>
          <cell r="B303">
            <v>15</v>
          </cell>
          <cell r="C303">
            <v>50</v>
          </cell>
          <cell r="D303">
            <v>90</v>
          </cell>
          <cell r="E303">
            <v>4.1950000000000003</v>
          </cell>
        </row>
        <row r="304">
          <cell r="A304">
            <v>5672</v>
          </cell>
          <cell r="B304">
            <v>15</v>
          </cell>
          <cell r="C304">
            <v>40</v>
          </cell>
          <cell r="D304">
            <v>85</v>
          </cell>
          <cell r="E304">
            <v>5.0339999999999998</v>
          </cell>
        </row>
        <row r="305">
          <cell r="C305">
            <v>430</v>
          </cell>
          <cell r="E305">
            <v>62.085999999999999</v>
          </cell>
        </row>
        <row r="306">
          <cell r="A306">
            <v>1598</v>
          </cell>
          <cell r="B306">
            <v>13</v>
          </cell>
          <cell r="C306">
            <v>35</v>
          </cell>
          <cell r="D306">
            <v>95</v>
          </cell>
          <cell r="E306">
            <v>1.4682499999999998</v>
          </cell>
        </row>
        <row r="307">
          <cell r="A307">
            <v>3982</v>
          </cell>
          <cell r="B307">
            <v>13</v>
          </cell>
          <cell r="C307">
            <v>30</v>
          </cell>
          <cell r="D307">
            <v>60</v>
          </cell>
          <cell r="E307">
            <v>10.068</v>
          </cell>
        </row>
        <row r="308">
          <cell r="A308">
            <v>2119</v>
          </cell>
          <cell r="B308">
            <v>13</v>
          </cell>
          <cell r="C308">
            <v>25</v>
          </cell>
          <cell r="D308">
            <v>70</v>
          </cell>
          <cell r="E308">
            <v>6.2925000000000004</v>
          </cell>
        </row>
        <row r="309">
          <cell r="A309">
            <v>7546</v>
          </cell>
          <cell r="B309">
            <v>13</v>
          </cell>
          <cell r="C309">
            <v>100</v>
          </cell>
          <cell r="D309">
            <v>95</v>
          </cell>
          <cell r="E309">
            <v>4.1950000000000003</v>
          </cell>
        </row>
        <row r="310">
          <cell r="A310">
            <v>5041</v>
          </cell>
          <cell r="B310">
            <v>13</v>
          </cell>
          <cell r="C310">
            <v>20</v>
          </cell>
          <cell r="D310">
            <v>75</v>
          </cell>
          <cell r="E310">
            <v>4.1950000000000003</v>
          </cell>
        </row>
        <row r="311">
          <cell r="A311">
            <v>4684</v>
          </cell>
          <cell r="B311">
            <v>13</v>
          </cell>
          <cell r="C311">
            <v>40</v>
          </cell>
          <cell r="D311">
            <v>60</v>
          </cell>
          <cell r="E311">
            <v>13.423999999999999</v>
          </cell>
        </row>
        <row r="312">
          <cell r="A312">
            <v>4686</v>
          </cell>
          <cell r="B312">
            <v>13</v>
          </cell>
          <cell r="C312">
            <v>50</v>
          </cell>
          <cell r="D312">
            <v>60</v>
          </cell>
          <cell r="E312">
            <v>16.78</v>
          </cell>
        </row>
        <row r="313">
          <cell r="A313">
            <v>1191</v>
          </cell>
          <cell r="B313">
            <v>13</v>
          </cell>
          <cell r="C313">
            <v>15</v>
          </cell>
          <cell r="D313">
            <v>95</v>
          </cell>
          <cell r="E313">
            <v>0.62924999999999998</v>
          </cell>
        </row>
        <row r="314">
          <cell r="A314">
            <v>6668</v>
          </cell>
          <cell r="B314">
            <v>13</v>
          </cell>
          <cell r="C314">
            <v>25</v>
          </cell>
          <cell r="D314">
            <v>50</v>
          </cell>
          <cell r="E314">
            <v>10.487500000000001</v>
          </cell>
        </row>
        <row r="315">
          <cell r="A315">
            <v>8938</v>
          </cell>
          <cell r="B315">
            <v>13</v>
          </cell>
          <cell r="C315">
            <v>45</v>
          </cell>
          <cell r="D315">
            <v>90</v>
          </cell>
          <cell r="E315">
            <v>3.7755000000000001</v>
          </cell>
        </row>
        <row r="316">
          <cell r="A316">
            <v>5291</v>
          </cell>
          <cell r="B316">
            <v>14</v>
          </cell>
          <cell r="C316">
            <v>60</v>
          </cell>
          <cell r="D316">
            <v>90</v>
          </cell>
          <cell r="E316">
            <v>5.0339999999999998</v>
          </cell>
        </row>
        <row r="317">
          <cell r="A317">
            <v>1189</v>
          </cell>
          <cell r="B317">
            <v>15</v>
          </cell>
          <cell r="C317">
            <v>50</v>
          </cell>
          <cell r="D317">
            <v>90</v>
          </cell>
          <cell r="E317">
            <v>4.1950000000000003</v>
          </cell>
        </row>
        <row r="318">
          <cell r="C318">
            <v>495</v>
          </cell>
          <cell r="E318">
            <v>80.544000000000011</v>
          </cell>
        </row>
        <row r="319">
          <cell r="A319">
            <v>3481</v>
          </cell>
          <cell r="B319">
            <v>15</v>
          </cell>
          <cell r="C319">
            <v>35</v>
          </cell>
          <cell r="D319">
            <v>93</v>
          </cell>
          <cell r="E319">
            <v>2.0555499999999998</v>
          </cell>
        </row>
        <row r="320">
          <cell r="A320">
            <v>4615</v>
          </cell>
          <cell r="B320">
            <v>13</v>
          </cell>
          <cell r="C320">
            <v>30</v>
          </cell>
          <cell r="D320">
            <v>50</v>
          </cell>
          <cell r="E320">
            <v>12.585000000000001</v>
          </cell>
        </row>
        <row r="321">
          <cell r="A321">
            <v>826</v>
          </cell>
          <cell r="B321">
            <v>13</v>
          </cell>
          <cell r="C321">
            <v>20</v>
          </cell>
          <cell r="D321">
            <v>70</v>
          </cell>
          <cell r="E321">
            <v>5.0339999999999998</v>
          </cell>
        </row>
        <row r="322">
          <cell r="A322">
            <v>7053</v>
          </cell>
          <cell r="B322">
            <v>13</v>
          </cell>
          <cell r="C322">
            <v>30</v>
          </cell>
          <cell r="D322">
            <v>95</v>
          </cell>
          <cell r="E322">
            <v>1.2585</v>
          </cell>
        </row>
        <row r="323">
          <cell r="A323">
            <v>2123</v>
          </cell>
          <cell r="B323">
            <v>14</v>
          </cell>
          <cell r="C323">
            <v>30</v>
          </cell>
          <cell r="D323">
            <v>90</v>
          </cell>
          <cell r="E323">
            <v>2.5169999999999999</v>
          </cell>
        </row>
        <row r="324">
          <cell r="A324">
            <v>5467</v>
          </cell>
          <cell r="B324">
            <v>13</v>
          </cell>
          <cell r="C324">
            <v>30</v>
          </cell>
          <cell r="D324">
            <v>90</v>
          </cell>
          <cell r="E324">
            <v>2.5169999999999999</v>
          </cell>
        </row>
        <row r="325">
          <cell r="A325">
            <v>547</v>
          </cell>
          <cell r="B325" t="str">
            <v>15/16</v>
          </cell>
          <cell r="C325">
            <v>25</v>
          </cell>
          <cell r="D325">
            <v>75</v>
          </cell>
          <cell r="E325">
            <v>5.2437500000000004</v>
          </cell>
        </row>
        <row r="326">
          <cell r="A326">
            <v>8940</v>
          </cell>
          <cell r="B326">
            <v>13</v>
          </cell>
          <cell r="C326">
            <v>20</v>
          </cell>
          <cell r="D326">
            <v>80</v>
          </cell>
          <cell r="E326">
            <v>3.3559999999999999</v>
          </cell>
        </row>
        <row r="327">
          <cell r="A327">
            <v>2952</v>
          </cell>
          <cell r="B327">
            <v>13</v>
          </cell>
          <cell r="C327">
            <v>30</v>
          </cell>
          <cell r="D327">
            <v>60</v>
          </cell>
          <cell r="E327">
            <v>10.068</v>
          </cell>
        </row>
        <row r="328">
          <cell r="A328">
            <v>5774</v>
          </cell>
          <cell r="B328">
            <v>15</v>
          </cell>
          <cell r="C328">
            <v>55</v>
          </cell>
          <cell r="D328">
            <v>90</v>
          </cell>
          <cell r="E328">
            <v>4.6144999999999996</v>
          </cell>
        </row>
        <row r="329">
          <cell r="A329">
            <v>6084</v>
          </cell>
          <cell r="B329">
            <v>14</v>
          </cell>
          <cell r="C329">
            <v>10</v>
          </cell>
          <cell r="D329">
            <v>35</v>
          </cell>
          <cell r="E329">
            <v>5.4535</v>
          </cell>
        </row>
        <row r="330">
          <cell r="A330">
            <v>5602</v>
          </cell>
          <cell r="B330">
            <v>15</v>
          </cell>
          <cell r="C330">
            <v>90</v>
          </cell>
          <cell r="D330">
            <v>92</v>
          </cell>
          <cell r="E330">
            <v>6.0407999999999991</v>
          </cell>
        </row>
        <row r="331">
          <cell r="A331">
            <v>79</v>
          </cell>
          <cell r="B331">
            <v>15</v>
          </cell>
          <cell r="C331">
            <v>25</v>
          </cell>
          <cell r="D331">
            <v>70</v>
          </cell>
          <cell r="E331">
            <v>6.2925000000000004</v>
          </cell>
        </row>
        <row r="332">
          <cell r="A332">
            <v>5468</v>
          </cell>
          <cell r="B332">
            <v>13</v>
          </cell>
          <cell r="C332">
            <v>10</v>
          </cell>
          <cell r="D332">
            <v>70</v>
          </cell>
          <cell r="E332">
            <v>2.5169999999999999</v>
          </cell>
        </row>
        <row r="333">
          <cell r="A333">
            <v>4661</v>
          </cell>
          <cell r="B333">
            <v>13</v>
          </cell>
          <cell r="C333">
            <v>60</v>
          </cell>
          <cell r="D333">
            <v>55</v>
          </cell>
          <cell r="E333">
            <v>22.652999999999999</v>
          </cell>
        </row>
        <row r="334">
          <cell r="A334">
            <v>1193</v>
          </cell>
          <cell r="B334">
            <v>13</v>
          </cell>
          <cell r="C334">
            <v>20</v>
          </cell>
          <cell r="D334">
            <v>50</v>
          </cell>
          <cell r="E334">
            <v>8.39</v>
          </cell>
        </row>
        <row r="335">
          <cell r="A335">
            <v>7049</v>
          </cell>
          <cell r="B335">
            <v>13</v>
          </cell>
          <cell r="C335">
            <v>30</v>
          </cell>
          <cell r="D335">
            <v>70</v>
          </cell>
          <cell r="E335">
            <v>7.5510000000000002</v>
          </cell>
        </row>
        <row r="336">
          <cell r="A336">
            <v>5671</v>
          </cell>
          <cell r="B336">
            <v>15</v>
          </cell>
          <cell r="C336">
            <v>40</v>
          </cell>
          <cell r="D336">
            <v>50</v>
          </cell>
          <cell r="E336">
            <v>16.78</v>
          </cell>
        </row>
        <row r="337">
          <cell r="A337">
            <v>6719</v>
          </cell>
          <cell r="B337">
            <v>13</v>
          </cell>
          <cell r="C337">
            <v>25</v>
          </cell>
          <cell r="D337">
            <v>90</v>
          </cell>
          <cell r="E337">
            <v>2.0975000000000001</v>
          </cell>
        </row>
        <row r="338">
          <cell r="A338">
            <v>3833</v>
          </cell>
          <cell r="B338">
            <v>15</v>
          </cell>
          <cell r="C338">
            <v>15</v>
          </cell>
          <cell r="D338">
            <v>40</v>
          </cell>
          <cell r="E338">
            <v>7.5510000000000002</v>
          </cell>
        </row>
        <row r="339">
          <cell r="A339">
            <v>1194</v>
          </cell>
          <cell r="B339">
            <v>14</v>
          </cell>
          <cell r="C339">
            <v>20</v>
          </cell>
          <cell r="D339">
            <v>80</v>
          </cell>
          <cell r="E339">
            <v>3.3559999999999999</v>
          </cell>
        </row>
        <row r="340">
          <cell r="C340">
            <v>650</v>
          </cell>
          <cell r="E340">
            <v>137.93159999999997</v>
          </cell>
        </row>
        <row r="341">
          <cell r="C341">
            <v>12935</v>
          </cell>
          <cell r="E341">
            <v>2024.8425999999999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хт арты Гу-83"/>
      <sheetName val="вахт арты Гу-84"/>
      <sheetName val="вахт арты  Гу-4"/>
      <sheetName val="вахт ГУ-54 арты"/>
      <sheetName val="вахт7 "/>
      <sheetName val="вахт4  "/>
      <sheetName val="вахт54"/>
      <sheetName val="вахт55 "/>
      <sheetName val="вахт арты 57"/>
      <sheetName val="вахт57 "/>
      <sheetName val="вахт83 "/>
      <sheetName val="вахт84 "/>
      <sheetName val="сут арты"/>
      <sheetName val="сут рап 4 "/>
      <sheetName val="сут арты 4"/>
      <sheetName val="сут рап 7"/>
      <sheetName val="сут рап арт-54"/>
      <sheetName val="сут рап 54"/>
      <sheetName val="сут рап арт-55"/>
      <sheetName val="сут рап 55"/>
      <sheetName val="сут рап арт-57"/>
      <sheetName val="сут рап 57"/>
      <sheetName val="сут рап алды 83"/>
      <sheetName val="сут рап83"/>
      <sheetName val="сут рап арт-84"/>
      <sheetName val="сут рап84"/>
      <sheetName val="впр режи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3427</v>
          </cell>
          <cell r="B2">
            <v>15</v>
          </cell>
          <cell r="C2">
            <v>80</v>
          </cell>
          <cell r="D2">
            <v>2.5169999999999999</v>
          </cell>
        </row>
        <row r="3">
          <cell r="A3">
            <v>2968</v>
          </cell>
          <cell r="B3">
            <v>40</v>
          </cell>
          <cell r="C3">
            <v>95</v>
          </cell>
          <cell r="D3">
            <v>1.6779999999999999</v>
          </cell>
        </row>
        <row r="4">
          <cell r="A4">
            <v>7365</v>
          </cell>
          <cell r="B4">
            <v>15</v>
          </cell>
          <cell r="C4">
            <v>80</v>
          </cell>
          <cell r="D4">
            <v>2.5169999999999999</v>
          </cell>
        </row>
        <row r="5">
          <cell r="A5">
            <v>7356</v>
          </cell>
          <cell r="B5">
            <v>25</v>
          </cell>
          <cell r="C5">
            <v>80</v>
          </cell>
          <cell r="D5">
            <v>4.1950000000000003</v>
          </cell>
        </row>
        <row r="6">
          <cell r="A6">
            <v>3976</v>
          </cell>
          <cell r="B6">
            <v>35</v>
          </cell>
          <cell r="C6">
            <v>97</v>
          </cell>
          <cell r="D6">
            <v>0.88095000000000001</v>
          </cell>
        </row>
        <row r="7">
          <cell r="A7">
            <v>1465</v>
          </cell>
          <cell r="B7">
            <v>35</v>
          </cell>
          <cell r="C7">
            <v>85</v>
          </cell>
          <cell r="D7">
            <v>4.4047499999999999</v>
          </cell>
        </row>
        <row r="8">
          <cell r="A8">
            <v>8057</v>
          </cell>
          <cell r="B8">
            <v>35</v>
          </cell>
          <cell r="C8">
            <v>90</v>
          </cell>
          <cell r="D8">
            <v>2.9364999999999997</v>
          </cell>
        </row>
        <row r="9">
          <cell r="A9">
            <v>4143</v>
          </cell>
          <cell r="B9">
            <v>20</v>
          </cell>
          <cell r="C9">
            <v>85</v>
          </cell>
          <cell r="D9">
            <v>2.5169999999999999</v>
          </cell>
        </row>
        <row r="10">
          <cell r="A10">
            <v>4232</v>
          </cell>
          <cell r="B10">
            <v>30</v>
          </cell>
          <cell r="C10">
            <v>85</v>
          </cell>
          <cell r="D10">
            <v>3.7755000000000001</v>
          </cell>
        </row>
        <row r="11">
          <cell r="A11">
            <v>5948</v>
          </cell>
          <cell r="B11">
            <v>30</v>
          </cell>
          <cell r="C11">
            <v>85</v>
          </cell>
          <cell r="D11">
            <v>3.7755000000000001</v>
          </cell>
        </row>
        <row r="12">
          <cell r="A12">
            <v>13</v>
          </cell>
          <cell r="B12">
            <v>280</v>
          </cell>
          <cell r="D12">
            <v>29.197200000000002</v>
          </cell>
        </row>
        <row r="13">
          <cell r="A13">
            <v>5676</v>
          </cell>
          <cell r="B13">
            <v>80</v>
          </cell>
          <cell r="C13">
            <v>90</v>
          </cell>
          <cell r="D13">
            <v>6.7119999999999997</v>
          </cell>
        </row>
        <row r="14">
          <cell r="A14">
            <v>5876</v>
          </cell>
          <cell r="B14">
            <v>40</v>
          </cell>
          <cell r="C14">
            <v>85</v>
          </cell>
          <cell r="D14">
            <v>5.0339999999999998</v>
          </cell>
        </row>
        <row r="15">
          <cell r="A15">
            <v>9163</v>
          </cell>
          <cell r="B15">
            <v>30</v>
          </cell>
          <cell r="C15">
            <v>85</v>
          </cell>
          <cell r="D15">
            <v>3.7755000000000001</v>
          </cell>
        </row>
        <row r="16">
          <cell r="A16">
            <v>3312</v>
          </cell>
          <cell r="B16">
            <v>30</v>
          </cell>
          <cell r="C16">
            <v>85</v>
          </cell>
          <cell r="D16">
            <v>3.7755000000000001</v>
          </cell>
        </row>
        <row r="17">
          <cell r="A17">
            <v>3175</v>
          </cell>
          <cell r="B17">
            <v>10</v>
          </cell>
          <cell r="C17">
            <v>60</v>
          </cell>
          <cell r="D17">
            <v>3.3559999999999999</v>
          </cell>
        </row>
        <row r="18">
          <cell r="A18">
            <v>5727</v>
          </cell>
          <cell r="B18">
            <v>30</v>
          </cell>
          <cell r="C18">
            <v>95</v>
          </cell>
          <cell r="D18">
            <v>1.2585</v>
          </cell>
        </row>
        <row r="19">
          <cell r="A19">
            <v>909</v>
          </cell>
          <cell r="B19">
            <v>50</v>
          </cell>
          <cell r="C19">
            <v>92</v>
          </cell>
          <cell r="D19">
            <v>3.3559999999999999</v>
          </cell>
        </row>
        <row r="20">
          <cell r="A20">
            <v>587</v>
          </cell>
          <cell r="B20">
            <v>50</v>
          </cell>
          <cell r="C20">
            <v>95</v>
          </cell>
          <cell r="D20">
            <v>2.0975000000000001</v>
          </cell>
        </row>
        <row r="21">
          <cell r="A21">
            <v>9448</v>
          </cell>
          <cell r="B21">
            <v>50</v>
          </cell>
          <cell r="C21">
            <v>93</v>
          </cell>
          <cell r="D21">
            <v>2.9364999999999997</v>
          </cell>
        </row>
        <row r="22">
          <cell r="A22">
            <v>5692</v>
          </cell>
          <cell r="B22">
            <v>45</v>
          </cell>
          <cell r="C22">
            <v>93</v>
          </cell>
          <cell r="D22">
            <v>2.6428499999999997</v>
          </cell>
        </row>
        <row r="23">
          <cell r="A23">
            <v>6155</v>
          </cell>
          <cell r="B23">
            <v>15</v>
          </cell>
          <cell r="C23">
            <v>80</v>
          </cell>
          <cell r="D23">
            <v>2.5169999999999999</v>
          </cell>
        </row>
        <row r="24">
          <cell r="A24">
            <v>7115</v>
          </cell>
          <cell r="B24">
            <v>30</v>
          </cell>
          <cell r="C24">
            <v>75</v>
          </cell>
          <cell r="D24">
            <v>6.2925000000000004</v>
          </cell>
        </row>
        <row r="25">
          <cell r="A25">
            <v>5677</v>
          </cell>
          <cell r="B25">
            <v>45</v>
          </cell>
          <cell r="C25">
            <v>80</v>
          </cell>
          <cell r="D25">
            <v>7.5510000000000002</v>
          </cell>
        </row>
        <row r="26">
          <cell r="A26">
            <v>5882</v>
          </cell>
          <cell r="B26">
            <v>40</v>
          </cell>
          <cell r="C26">
            <v>85</v>
          </cell>
          <cell r="D26">
            <v>5.0339999999999998</v>
          </cell>
        </row>
        <row r="27">
          <cell r="A27">
            <v>9820</v>
          </cell>
          <cell r="B27">
            <v>50</v>
          </cell>
          <cell r="C27">
            <v>50</v>
          </cell>
          <cell r="D27">
            <v>20.975000000000001</v>
          </cell>
        </row>
        <row r="28">
          <cell r="A28">
            <v>15</v>
          </cell>
          <cell r="B28">
            <v>595</v>
          </cell>
          <cell r="D28">
            <v>77.313850000000002</v>
          </cell>
        </row>
        <row r="29">
          <cell r="A29">
            <v>3289</v>
          </cell>
          <cell r="B29">
            <v>45</v>
          </cell>
          <cell r="C29">
            <v>92</v>
          </cell>
          <cell r="D29">
            <v>3.0203999999999995</v>
          </cell>
        </row>
        <row r="30">
          <cell r="A30">
            <v>4692</v>
          </cell>
          <cell r="B30">
            <v>50</v>
          </cell>
          <cell r="C30">
            <v>90</v>
          </cell>
          <cell r="D30">
            <v>4.1950000000000003</v>
          </cell>
        </row>
        <row r="31">
          <cell r="A31">
            <v>3934</v>
          </cell>
          <cell r="B31">
            <v>25</v>
          </cell>
          <cell r="C31">
            <v>70</v>
          </cell>
          <cell r="D31">
            <v>6.2925000000000004</v>
          </cell>
        </row>
        <row r="32">
          <cell r="A32">
            <v>3293</v>
          </cell>
          <cell r="B32">
            <v>25</v>
          </cell>
          <cell r="C32">
            <v>93</v>
          </cell>
          <cell r="D32">
            <v>1.4682499999999998</v>
          </cell>
        </row>
        <row r="33">
          <cell r="A33">
            <v>572</v>
          </cell>
          <cell r="B33">
            <v>60</v>
          </cell>
          <cell r="C33">
            <v>90</v>
          </cell>
          <cell r="D33">
            <v>5.0339999999999998</v>
          </cell>
        </row>
        <row r="34">
          <cell r="A34">
            <v>4602</v>
          </cell>
          <cell r="B34">
            <v>20</v>
          </cell>
          <cell r="C34">
            <v>75</v>
          </cell>
          <cell r="D34">
            <v>4.1950000000000003</v>
          </cell>
        </row>
        <row r="35">
          <cell r="A35">
            <v>3973</v>
          </cell>
          <cell r="B35">
            <v>35</v>
          </cell>
          <cell r="C35">
            <v>60</v>
          </cell>
          <cell r="D35">
            <v>11.745999999999999</v>
          </cell>
        </row>
        <row r="36">
          <cell r="A36">
            <v>3294</v>
          </cell>
          <cell r="B36">
            <v>45</v>
          </cell>
          <cell r="C36">
            <v>95</v>
          </cell>
          <cell r="D36">
            <v>1.88775</v>
          </cell>
        </row>
        <row r="37">
          <cell r="A37">
            <v>4136</v>
          </cell>
          <cell r="B37">
            <v>50</v>
          </cell>
          <cell r="C37">
            <v>93</v>
          </cell>
          <cell r="D37">
            <v>2.9364999999999997</v>
          </cell>
        </row>
        <row r="38">
          <cell r="A38">
            <v>4880</v>
          </cell>
          <cell r="B38">
            <v>15</v>
          </cell>
          <cell r="C38">
            <v>55</v>
          </cell>
          <cell r="D38">
            <v>5.6632499999999997</v>
          </cell>
        </row>
        <row r="39">
          <cell r="A39">
            <v>6905</v>
          </cell>
          <cell r="B39">
            <v>60</v>
          </cell>
          <cell r="C39">
            <v>90</v>
          </cell>
          <cell r="D39">
            <v>5.0339999999999998</v>
          </cell>
        </row>
        <row r="40">
          <cell r="A40">
            <v>208</v>
          </cell>
          <cell r="B40">
            <v>30</v>
          </cell>
          <cell r="C40">
            <v>80</v>
          </cell>
          <cell r="D40">
            <v>5.0339999999999998</v>
          </cell>
        </row>
        <row r="41">
          <cell r="A41">
            <v>5817</v>
          </cell>
          <cell r="B41">
            <v>45</v>
          </cell>
          <cell r="C41">
            <v>92</v>
          </cell>
          <cell r="D41">
            <v>3.0203999999999995</v>
          </cell>
        </row>
        <row r="42">
          <cell r="A42">
            <v>15</v>
          </cell>
          <cell r="B42">
            <v>505</v>
          </cell>
          <cell r="D42">
            <v>59.527049999999996</v>
          </cell>
        </row>
        <row r="43">
          <cell r="A43">
            <v>9545</v>
          </cell>
          <cell r="B43">
            <v>100</v>
          </cell>
          <cell r="C43">
            <v>95</v>
          </cell>
          <cell r="D43">
            <v>4.1950000000000003</v>
          </cell>
        </row>
        <row r="44">
          <cell r="A44">
            <v>5949</v>
          </cell>
          <cell r="B44">
            <v>60</v>
          </cell>
          <cell r="C44">
            <v>85</v>
          </cell>
          <cell r="D44">
            <v>7.5510000000000002</v>
          </cell>
        </row>
        <row r="45">
          <cell r="A45">
            <v>8054</v>
          </cell>
          <cell r="B45">
            <v>30</v>
          </cell>
          <cell r="C45">
            <v>85</v>
          </cell>
          <cell r="D45">
            <v>3.7755000000000001</v>
          </cell>
        </row>
        <row r="46">
          <cell r="A46">
            <v>564</v>
          </cell>
          <cell r="B46">
            <v>50</v>
          </cell>
          <cell r="C46">
            <v>85</v>
          </cell>
          <cell r="D46">
            <v>6.2925000000000004</v>
          </cell>
        </row>
        <row r="47">
          <cell r="A47">
            <v>7381</v>
          </cell>
          <cell r="B47">
            <v>30</v>
          </cell>
          <cell r="C47">
            <v>50</v>
          </cell>
          <cell r="D47">
            <v>12.585000000000001</v>
          </cell>
        </row>
        <row r="48">
          <cell r="A48">
            <v>4628</v>
          </cell>
          <cell r="B48">
            <v>10</v>
          </cell>
          <cell r="C48">
            <v>80</v>
          </cell>
          <cell r="D48">
            <v>1.6779999999999999</v>
          </cell>
        </row>
        <row r="49">
          <cell r="A49">
            <v>9632</v>
          </cell>
          <cell r="B49">
            <v>50</v>
          </cell>
          <cell r="C49">
            <v>90</v>
          </cell>
          <cell r="D49">
            <v>4.1950000000000003</v>
          </cell>
        </row>
        <row r="50">
          <cell r="A50">
            <v>566</v>
          </cell>
          <cell r="C50" t="str">
            <v>бд</v>
          </cell>
        </row>
        <row r="51">
          <cell r="A51">
            <v>732</v>
          </cell>
          <cell r="B51">
            <v>45</v>
          </cell>
          <cell r="C51">
            <v>75</v>
          </cell>
          <cell r="D51">
            <v>9.4387500000000006</v>
          </cell>
        </row>
        <row r="52">
          <cell r="A52">
            <v>3267</v>
          </cell>
          <cell r="B52">
            <v>55</v>
          </cell>
          <cell r="C52">
            <v>80</v>
          </cell>
          <cell r="D52">
            <v>9.2289999999999992</v>
          </cell>
        </row>
        <row r="53">
          <cell r="A53">
            <v>3268</v>
          </cell>
          <cell r="B53">
            <v>60</v>
          </cell>
          <cell r="C53">
            <v>85</v>
          </cell>
          <cell r="D53">
            <v>7.5510000000000002</v>
          </cell>
        </row>
        <row r="54">
          <cell r="A54">
            <v>11</v>
          </cell>
          <cell r="B54">
            <v>490</v>
          </cell>
          <cell r="C54">
            <v>810</v>
          </cell>
          <cell r="D54">
            <v>66.490749999999991</v>
          </cell>
        </row>
        <row r="55">
          <cell r="A55" t="str">
            <v>ИТОГО</v>
          </cell>
          <cell r="B55">
            <v>1870</v>
          </cell>
          <cell r="C55">
            <v>810</v>
          </cell>
          <cell r="D55">
            <v>232.52885000000001</v>
          </cell>
        </row>
        <row r="56">
          <cell r="A56">
            <v>3251</v>
          </cell>
          <cell r="B56">
            <v>40</v>
          </cell>
          <cell r="C56">
            <v>95</v>
          </cell>
          <cell r="D56">
            <v>1.6779999999999999</v>
          </cell>
        </row>
        <row r="57">
          <cell r="A57">
            <v>6606</v>
          </cell>
          <cell r="B57">
            <v>50</v>
          </cell>
          <cell r="C57">
            <v>93</v>
          </cell>
          <cell r="D57">
            <v>2.9364999999999997</v>
          </cell>
        </row>
        <row r="58">
          <cell r="A58">
            <v>3955</v>
          </cell>
          <cell r="B58">
            <v>45</v>
          </cell>
          <cell r="C58">
            <v>95</v>
          </cell>
          <cell r="D58">
            <v>1.88775</v>
          </cell>
        </row>
        <row r="59">
          <cell r="A59">
            <v>5778</v>
          </cell>
          <cell r="B59">
            <v>45</v>
          </cell>
          <cell r="C59">
            <v>93</v>
          </cell>
          <cell r="D59">
            <v>2.6428499999999997</v>
          </cell>
        </row>
        <row r="60">
          <cell r="A60">
            <v>6607</v>
          </cell>
          <cell r="B60">
            <v>70</v>
          </cell>
          <cell r="C60">
            <v>85</v>
          </cell>
          <cell r="D60">
            <v>8.8094999999999999</v>
          </cell>
        </row>
        <row r="61">
          <cell r="A61">
            <v>9159</v>
          </cell>
          <cell r="C61" t="str">
            <v>бд</v>
          </cell>
        </row>
        <row r="62">
          <cell r="A62">
            <v>6899</v>
          </cell>
          <cell r="B62">
            <v>45</v>
          </cell>
          <cell r="C62">
            <v>80</v>
          </cell>
          <cell r="D62">
            <v>7.5510000000000002</v>
          </cell>
        </row>
        <row r="63">
          <cell r="A63">
            <v>2133</v>
          </cell>
          <cell r="B63">
            <v>45</v>
          </cell>
          <cell r="C63">
            <v>93</v>
          </cell>
          <cell r="D63">
            <v>2.6428499999999997</v>
          </cell>
        </row>
        <row r="64">
          <cell r="A64">
            <v>9534</v>
          </cell>
          <cell r="B64">
            <v>100</v>
          </cell>
          <cell r="C64">
            <v>95</v>
          </cell>
          <cell r="D64">
            <v>4.1950000000000003</v>
          </cell>
        </row>
        <row r="65">
          <cell r="A65">
            <v>9423</v>
          </cell>
          <cell r="B65">
            <v>20</v>
          </cell>
          <cell r="C65">
            <v>85</v>
          </cell>
          <cell r="D65">
            <v>2.5169999999999999</v>
          </cell>
        </row>
        <row r="66">
          <cell r="A66">
            <v>9537</v>
          </cell>
          <cell r="B66">
            <v>45</v>
          </cell>
          <cell r="C66">
            <v>90</v>
          </cell>
          <cell r="D66">
            <v>3.7755000000000001</v>
          </cell>
        </row>
        <row r="67">
          <cell r="A67">
            <v>7815</v>
          </cell>
          <cell r="B67">
            <v>50</v>
          </cell>
          <cell r="C67">
            <v>95</v>
          </cell>
          <cell r="D67">
            <v>2.0975000000000001</v>
          </cell>
        </row>
        <row r="68">
          <cell r="A68">
            <v>6931</v>
          </cell>
          <cell r="B68">
            <v>20</v>
          </cell>
          <cell r="C68">
            <v>94</v>
          </cell>
          <cell r="D68">
            <v>1.0067999999999999</v>
          </cell>
        </row>
        <row r="69">
          <cell r="A69">
            <v>11</v>
          </cell>
          <cell r="B69">
            <v>575</v>
          </cell>
          <cell r="D69">
            <v>41.740250000000003</v>
          </cell>
        </row>
        <row r="70">
          <cell r="A70">
            <v>5044</v>
          </cell>
          <cell r="B70">
            <v>45</v>
          </cell>
          <cell r="C70">
            <v>95</v>
          </cell>
          <cell r="D70">
            <v>1.88775</v>
          </cell>
        </row>
        <row r="71">
          <cell r="A71">
            <v>8754</v>
          </cell>
          <cell r="B71">
            <v>35</v>
          </cell>
          <cell r="C71">
            <v>85</v>
          </cell>
          <cell r="D71">
            <v>4.4047499999999999</v>
          </cell>
        </row>
        <row r="72">
          <cell r="A72">
            <v>4231</v>
          </cell>
          <cell r="B72">
            <v>15</v>
          </cell>
          <cell r="C72">
            <v>70</v>
          </cell>
          <cell r="D72">
            <v>3.7755000000000001</v>
          </cell>
        </row>
        <row r="73">
          <cell r="A73">
            <v>9079</v>
          </cell>
          <cell r="B73">
            <v>50</v>
          </cell>
          <cell r="C73">
            <v>85</v>
          </cell>
          <cell r="D73">
            <v>6.2925000000000004</v>
          </cell>
        </row>
        <row r="74">
          <cell r="A74">
            <v>5926</v>
          </cell>
          <cell r="B74">
            <v>60</v>
          </cell>
          <cell r="C74">
            <v>92</v>
          </cell>
          <cell r="D74">
            <v>4.0271999999999997</v>
          </cell>
        </row>
        <row r="75">
          <cell r="A75">
            <v>9081</v>
          </cell>
          <cell r="B75">
            <v>40</v>
          </cell>
          <cell r="C75">
            <v>90</v>
          </cell>
          <cell r="D75">
            <v>3.3559999999999999</v>
          </cell>
        </row>
        <row r="76">
          <cell r="A76">
            <v>2111</v>
          </cell>
          <cell r="B76">
            <v>25</v>
          </cell>
          <cell r="C76">
            <v>80</v>
          </cell>
          <cell r="D76">
            <v>4.1950000000000003</v>
          </cell>
        </row>
        <row r="77">
          <cell r="A77">
            <v>3219</v>
          </cell>
          <cell r="B77">
            <v>45</v>
          </cell>
          <cell r="C77">
            <v>92</v>
          </cell>
          <cell r="D77">
            <v>3.0203999999999995</v>
          </cell>
        </row>
        <row r="78">
          <cell r="A78">
            <v>2732</v>
          </cell>
          <cell r="B78">
            <v>20</v>
          </cell>
          <cell r="C78">
            <v>95</v>
          </cell>
          <cell r="D78">
            <v>0.83899999999999997</v>
          </cell>
        </row>
        <row r="79">
          <cell r="B79">
            <v>335</v>
          </cell>
          <cell r="D79">
            <v>31.798100000000002</v>
          </cell>
        </row>
        <row r="80">
          <cell r="A80">
            <v>8781</v>
          </cell>
          <cell r="B80">
            <v>30</v>
          </cell>
          <cell r="C80">
            <v>92</v>
          </cell>
          <cell r="D80">
            <v>2.0135999999999998</v>
          </cell>
        </row>
        <row r="81">
          <cell r="A81">
            <v>2250</v>
          </cell>
          <cell r="B81">
            <v>40</v>
          </cell>
          <cell r="C81">
            <v>90</v>
          </cell>
          <cell r="D81">
            <v>3.3559999999999999</v>
          </cell>
        </row>
        <row r="82">
          <cell r="A82">
            <v>3253</v>
          </cell>
          <cell r="B82">
            <v>10</v>
          </cell>
          <cell r="C82">
            <v>90</v>
          </cell>
          <cell r="D82">
            <v>0.83899999999999997</v>
          </cell>
        </row>
        <row r="83">
          <cell r="A83">
            <v>4117</v>
          </cell>
          <cell r="B83">
            <v>30</v>
          </cell>
          <cell r="C83">
            <v>80</v>
          </cell>
          <cell r="D83">
            <v>5.0339999999999998</v>
          </cell>
        </row>
        <row r="84">
          <cell r="A84">
            <v>3925</v>
          </cell>
          <cell r="B84">
            <v>15</v>
          </cell>
          <cell r="C84">
            <v>90</v>
          </cell>
          <cell r="D84">
            <v>1.2585</v>
          </cell>
        </row>
        <row r="85">
          <cell r="A85">
            <v>7614</v>
          </cell>
          <cell r="B85">
            <v>20</v>
          </cell>
          <cell r="C85">
            <v>85</v>
          </cell>
          <cell r="D85">
            <v>2.5169999999999999</v>
          </cell>
        </row>
        <row r="86">
          <cell r="A86">
            <v>5461</v>
          </cell>
          <cell r="B86">
            <v>30</v>
          </cell>
          <cell r="C86">
            <v>85</v>
          </cell>
          <cell r="D86">
            <v>3.7755000000000001</v>
          </cell>
        </row>
        <row r="87">
          <cell r="A87">
            <v>2923</v>
          </cell>
          <cell r="C87" t="str">
            <v>бд</v>
          </cell>
        </row>
        <row r="88">
          <cell r="A88">
            <v>7596</v>
          </cell>
          <cell r="B88">
            <v>35</v>
          </cell>
          <cell r="C88">
            <v>85</v>
          </cell>
          <cell r="D88">
            <v>4.4047499999999999</v>
          </cell>
        </row>
        <row r="89">
          <cell r="B89">
            <v>210</v>
          </cell>
          <cell r="D89">
            <v>23.198349999999998</v>
          </cell>
        </row>
        <row r="90">
          <cell r="A90">
            <v>7621</v>
          </cell>
          <cell r="B90">
            <v>40</v>
          </cell>
          <cell r="C90">
            <v>93</v>
          </cell>
          <cell r="D90">
            <v>2.3491999999999997</v>
          </cell>
        </row>
        <row r="91">
          <cell r="A91">
            <v>9057</v>
          </cell>
          <cell r="B91">
            <v>60</v>
          </cell>
          <cell r="C91">
            <v>90</v>
          </cell>
          <cell r="D91">
            <v>5.0339999999999998</v>
          </cell>
        </row>
        <row r="92">
          <cell r="A92">
            <v>4667</v>
          </cell>
          <cell r="B92">
            <v>30</v>
          </cell>
          <cell r="C92">
            <v>90</v>
          </cell>
          <cell r="D92">
            <v>2.5169999999999999</v>
          </cell>
        </row>
        <row r="93">
          <cell r="A93">
            <v>3664</v>
          </cell>
          <cell r="B93">
            <v>30</v>
          </cell>
          <cell r="C93">
            <v>85</v>
          </cell>
          <cell r="D93">
            <v>3.7755000000000001</v>
          </cell>
        </row>
        <row r="94">
          <cell r="A94">
            <v>9076</v>
          </cell>
          <cell r="B94">
            <v>45</v>
          </cell>
          <cell r="C94">
            <v>90</v>
          </cell>
          <cell r="D94">
            <v>3.7755000000000001</v>
          </cell>
        </row>
        <row r="95">
          <cell r="A95">
            <v>8453</v>
          </cell>
          <cell r="B95">
            <v>20</v>
          </cell>
          <cell r="C95">
            <v>60</v>
          </cell>
          <cell r="D95">
            <v>6.7119999999999997</v>
          </cell>
        </row>
        <row r="96">
          <cell r="A96">
            <v>7624</v>
          </cell>
          <cell r="B96">
            <v>20</v>
          </cell>
          <cell r="C96">
            <v>70</v>
          </cell>
          <cell r="D96">
            <v>5.0339999999999998</v>
          </cell>
        </row>
        <row r="97">
          <cell r="A97">
            <v>6181</v>
          </cell>
          <cell r="B97">
            <v>45</v>
          </cell>
          <cell r="C97">
            <v>90</v>
          </cell>
          <cell r="D97">
            <v>3.7755000000000001</v>
          </cell>
        </row>
        <row r="98">
          <cell r="A98">
            <v>7623</v>
          </cell>
          <cell r="B98">
            <v>35</v>
          </cell>
          <cell r="C98">
            <v>75</v>
          </cell>
          <cell r="D98">
            <v>7.3412499999999996</v>
          </cell>
        </row>
        <row r="99">
          <cell r="A99">
            <v>5485</v>
          </cell>
          <cell r="B99">
            <v>15</v>
          </cell>
          <cell r="C99">
            <v>85</v>
          </cell>
          <cell r="D99">
            <v>1.88775</v>
          </cell>
        </row>
        <row r="100">
          <cell r="B100">
            <v>340</v>
          </cell>
          <cell r="D100">
            <v>42.201699999999995</v>
          </cell>
        </row>
        <row r="101">
          <cell r="A101">
            <v>7928</v>
          </cell>
          <cell r="B101">
            <v>35</v>
          </cell>
          <cell r="C101">
            <v>85</v>
          </cell>
          <cell r="D101">
            <v>4.4047499999999999</v>
          </cell>
        </row>
        <row r="102">
          <cell r="A102">
            <v>9073</v>
          </cell>
          <cell r="B102">
            <v>35</v>
          </cell>
          <cell r="C102">
            <v>85</v>
          </cell>
          <cell r="D102">
            <v>4.4047499999999999</v>
          </cell>
        </row>
        <row r="103">
          <cell r="A103">
            <v>3662</v>
          </cell>
          <cell r="B103">
            <v>20</v>
          </cell>
          <cell r="C103">
            <v>80</v>
          </cell>
          <cell r="D103">
            <v>3.3559999999999999</v>
          </cell>
        </row>
        <row r="104">
          <cell r="A104">
            <v>513</v>
          </cell>
          <cell r="B104">
            <v>40</v>
          </cell>
          <cell r="C104">
            <v>95</v>
          </cell>
          <cell r="D104">
            <v>1.6779999999999999</v>
          </cell>
        </row>
        <row r="105">
          <cell r="A105">
            <v>9530</v>
          </cell>
          <cell r="B105">
            <v>40</v>
          </cell>
          <cell r="C105">
            <v>95</v>
          </cell>
          <cell r="D105">
            <v>1.6779999999999999</v>
          </cell>
        </row>
        <row r="106">
          <cell r="A106">
            <v>2913</v>
          </cell>
          <cell r="B106">
            <v>25</v>
          </cell>
          <cell r="C106">
            <v>95</v>
          </cell>
          <cell r="D106">
            <v>1.0487500000000001</v>
          </cell>
        </row>
        <row r="107">
          <cell r="A107">
            <v>2474</v>
          </cell>
          <cell r="B107">
            <v>10</v>
          </cell>
          <cell r="C107">
            <v>45</v>
          </cell>
          <cell r="D107">
            <v>4.6144999999999996</v>
          </cell>
        </row>
        <row r="108">
          <cell r="A108">
            <v>5867</v>
          </cell>
          <cell r="B108">
            <v>45</v>
          </cell>
          <cell r="C108">
            <v>65</v>
          </cell>
          <cell r="D108">
            <v>13.21425</v>
          </cell>
        </row>
        <row r="109">
          <cell r="A109">
            <v>3926</v>
          </cell>
          <cell r="B109">
            <v>30</v>
          </cell>
          <cell r="C109">
            <v>90</v>
          </cell>
          <cell r="D109">
            <v>2.5169999999999999</v>
          </cell>
        </row>
        <row r="110">
          <cell r="A110">
            <v>4847</v>
          </cell>
          <cell r="B110">
            <v>55</v>
          </cell>
          <cell r="C110">
            <v>60</v>
          </cell>
          <cell r="D110">
            <v>18.457999999999998</v>
          </cell>
        </row>
        <row r="111">
          <cell r="B111">
            <v>335</v>
          </cell>
          <cell r="D111">
            <v>55.374000000000002</v>
          </cell>
        </row>
        <row r="112">
          <cell r="A112">
            <v>169</v>
          </cell>
          <cell r="B112">
            <v>15</v>
          </cell>
          <cell r="C112">
            <v>80</v>
          </cell>
          <cell r="D112">
            <v>2.5169999999999999</v>
          </cell>
        </row>
        <row r="113">
          <cell r="A113">
            <v>7271</v>
          </cell>
          <cell r="B113">
            <v>10</v>
          </cell>
          <cell r="C113">
            <v>45</v>
          </cell>
          <cell r="D113">
            <v>4.6144999999999996</v>
          </cell>
        </row>
        <row r="114">
          <cell r="A114">
            <v>1731</v>
          </cell>
          <cell r="B114">
            <v>30</v>
          </cell>
          <cell r="C114">
            <v>45</v>
          </cell>
          <cell r="D114">
            <v>13.843499999999999</v>
          </cell>
        </row>
        <row r="115">
          <cell r="A115">
            <v>512</v>
          </cell>
          <cell r="B115">
            <v>65</v>
          </cell>
          <cell r="C115">
            <v>95</v>
          </cell>
          <cell r="D115">
            <v>2.72675</v>
          </cell>
        </row>
        <row r="116">
          <cell r="A116">
            <v>3919</v>
          </cell>
          <cell r="B116">
            <v>20</v>
          </cell>
          <cell r="C116">
            <v>80</v>
          </cell>
          <cell r="D116">
            <v>3.3559999999999999</v>
          </cell>
        </row>
        <row r="117">
          <cell r="A117">
            <v>9506</v>
          </cell>
          <cell r="B117">
            <v>25</v>
          </cell>
          <cell r="C117">
            <v>55</v>
          </cell>
          <cell r="D117">
            <v>9.4387500000000006</v>
          </cell>
        </row>
        <row r="118">
          <cell r="A118">
            <v>9715</v>
          </cell>
          <cell r="B118">
            <v>30</v>
          </cell>
          <cell r="C118">
            <v>85</v>
          </cell>
          <cell r="D118">
            <v>3.7755000000000001</v>
          </cell>
        </row>
        <row r="119">
          <cell r="A119">
            <v>9629</v>
          </cell>
          <cell r="B119">
            <v>45</v>
          </cell>
          <cell r="C119">
            <v>80</v>
          </cell>
          <cell r="D119">
            <v>7.5510000000000002</v>
          </cell>
        </row>
        <row r="120">
          <cell r="A120">
            <v>2733</v>
          </cell>
          <cell r="B120">
            <v>10</v>
          </cell>
          <cell r="C120">
            <v>60</v>
          </cell>
          <cell r="D120">
            <v>3.3559999999999999</v>
          </cell>
        </row>
        <row r="121">
          <cell r="A121">
            <v>9718</v>
          </cell>
          <cell r="B121">
            <v>45</v>
          </cell>
          <cell r="C121">
            <v>90</v>
          </cell>
          <cell r="D121">
            <v>3.7755000000000001</v>
          </cell>
        </row>
        <row r="122">
          <cell r="A122">
            <v>5424</v>
          </cell>
          <cell r="C122" t="str">
            <v>бд</v>
          </cell>
        </row>
        <row r="123">
          <cell r="A123">
            <v>7927</v>
          </cell>
          <cell r="B123">
            <v>35</v>
          </cell>
          <cell r="C123">
            <v>90</v>
          </cell>
          <cell r="D123">
            <v>2.9364999999999997</v>
          </cell>
        </row>
        <row r="124">
          <cell r="A124">
            <v>9074</v>
          </cell>
          <cell r="B124">
            <v>50</v>
          </cell>
          <cell r="C124">
            <v>95</v>
          </cell>
          <cell r="D124">
            <v>2.0975000000000001</v>
          </cell>
        </row>
        <row r="125">
          <cell r="A125">
            <v>5866</v>
          </cell>
          <cell r="B125">
            <v>10</v>
          </cell>
          <cell r="C125">
            <v>85</v>
          </cell>
          <cell r="D125">
            <v>1.2585</v>
          </cell>
        </row>
        <row r="126">
          <cell r="B126">
            <v>390</v>
          </cell>
          <cell r="D126">
            <v>61.247</v>
          </cell>
        </row>
        <row r="127">
          <cell r="A127" t="str">
            <v>ИТОГО</v>
          </cell>
          <cell r="B127">
            <v>2185</v>
          </cell>
          <cell r="D127">
            <v>255.55940000000001</v>
          </cell>
        </row>
        <row r="128">
          <cell r="A128">
            <v>4619</v>
          </cell>
          <cell r="B128">
            <v>60</v>
          </cell>
          <cell r="C128">
            <v>90</v>
          </cell>
          <cell r="D128">
            <v>5.0339999999999998</v>
          </cell>
        </row>
        <row r="129">
          <cell r="A129">
            <v>3931</v>
          </cell>
          <cell r="B129">
            <v>50</v>
          </cell>
          <cell r="C129">
            <v>85</v>
          </cell>
          <cell r="D129">
            <v>6.2925000000000004</v>
          </cell>
        </row>
        <row r="130">
          <cell r="A130">
            <v>6853</v>
          </cell>
          <cell r="C130" t="str">
            <v>кф</v>
          </cell>
        </row>
        <row r="131">
          <cell r="A131">
            <v>2796</v>
          </cell>
          <cell r="B131">
            <v>60</v>
          </cell>
          <cell r="C131">
            <v>70</v>
          </cell>
          <cell r="D131">
            <v>15.102</v>
          </cell>
        </row>
        <row r="132">
          <cell r="A132">
            <v>8770</v>
          </cell>
          <cell r="B132">
            <v>25</v>
          </cell>
          <cell r="C132">
            <v>85</v>
          </cell>
          <cell r="D132">
            <v>3.1462500000000002</v>
          </cell>
        </row>
        <row r="133">
          <cell r="A133">
            <v>3908</v>
          </cell>
          <cell r="B133">
            <v>30</v>
          </cell>
          <cell r="C133">
            <v>75</v>
          </cell>
          <cell r="D133">
            <v>6.2925000000000004</v>
          </cell>
        </row>
        <row r="134">
          <cell r="A134">
            <v>3534</v>
          </cell>
          <cell r="B134">
            <v>70</v>
          </cell>
          <cell r="C134">
            <v>75</v>
          </cell>
          <cell r="D134">
            <v>14.682499999999999</v>
          </cell>
        </row>
        <row r="135">
          <cell r="A135">
            <v>5784</v>
          </cell>
          <cell r="B135">
            <v>35</v>
          </cell>
          <cell r="C135">
            <v>50</v>
          </cell>
          <cell r="D135">
            <v>14.682499999999999</v>
          </cell>
        </row>
        <row r="136">
          <cell r="A136">
            <v>8304</v>
          </cell>
          <cell r="B136">
            <v>80</v>
          </cell>
          <cell r="C136">
            <v>60</v>
          </cell>
          <cell r="D136">
            <v>26.847999999999999</v>
          </cell>
        </row>
        <row r="137">
          <cell r="A137">
            <v>5819</v>
          </cell>
          <cell r="B137">
            <v>10</v>
          </cell>
          <cell r="C137">
            <v>80</v>
          </cell>
          <cell r="D137">
            <v>1.6779999999999999</v>
          </cell>
        </row>
        <row r="138">
          <cell r="A138">
            <v>8707</v>
          </cell>
          <cell r="B138">
            <v>65</v>
          </cell>
          <cell r="C138">
            <v>95</v>
          </cell>
          <cell r="D138">
            <v>2.72675</v>
          </cell>
        </row>
        <row r="139">
          <cell r="B139">
            <v>485</v>
          </cell>
          <cell r="D139">
            <v>96.484999999999985</v>
          </cell>
        </row>
        <row r="140">
          <cell r="A140">
            <v>3277</v>
          </cell>
          <cell r="B140">
            <v>15</v>
          </cell>
          <cell r="C140">
            <v>90</v>
          </cell>
          <cell r="D140">
            <v>1.2585</v>
          </cell>
        </row>
        <row r="141">
          <cell r="A141">
            <v>8706</v>
          </cell>
          <cell r="B141">
            <v>35</v>
          </cell>
          <cell r="C141">
            <v>75</v>
          </cell>
          <cell r="D141">
            <v>7.3412499999999996</v>
          </cell>
        </row>
        <row r="142">
          <cell r="A142">
            <v>9155</v>
          </cell>
          <cell r="B142">
            <v>40</v>
          </cell>
          <cell r="C142">
            <v>85</v>
          </cell>
          <cell r="D142">
            <v>5.0339999999999998</v>
          </cell>
        </row>
        <row r="143">
          <cell r="A143">
            <v>7114</v>
          </cell>
          <cell r="B143">
            <v>50</v>
          </cell>
          <cell r="C143">
            <v>90</v>
          </cell>
          <cell r="D143">
            <v>4.1950000000000003</v>
          </cell>
        </row>
        <row r="144">
          <cell r="A144">
            <v>1252</v>
          </cell>
          <cell r="C144" t="str">
            <v>бд</v>
          </cell>
        </row>
        <row r="145">
          <cell r="A145">
            <v>5781</v>
          </cell>
          <cell r="B145">
            <v>25</v>
          </cell>
          <cell r="C145">
            <v>80</v>
          </cell>
          <cell r="D145">
            <v>4.1950000000000003</v>
          </cell>
        </row>
        <row r="146">
          <cell r="A146">
            <v>577</v>
          </cell>
          <cell r="B146">
            <v>50</v>
          </cell>
          <cell r="C146">
            <v>85</v>
          </cell>
          <cell r="D146">
            <v>6.2925000000000004</v>
          </cell>
        </row>
        <row r="147">
          <cell r="A147">
            <v>2103</v>
          </cell>
          <cell r="B147">
            <v>50</v>
          </cell>
          <cell r="C147">
            <v>50</v>
          </cell>
          <cell r="D147">
            <v>20.975000000000001</v>
          </cell>
        </row>
        <row r="148">
          <cell r="A148">
            <v>2797</v>
          </cell>
          <cell r="B148">
            <v>30</v>
          </cell>
          <cell r="C148">
            <v>80</v>
          </cell>
          <cell r="D148">
            <v>5.0339999999999998</v>
          </cell>
        </row>
        <row r="149">
          <cell r="A149">
            <v>559</v>
          </cell>
          <cell r="B149">
            <v>55</v>
          </cell>
          <cell r="C149">
            <v>95</v>
          </cell>
          <cell r="D149">
            <v>2.3072499999999998</v>
          </cell>
        </row>
        <row r="150">
          <cell r="A150">
            <v>9088</v>
          </cell>
          <cell r="B150">
            <v>60</v>
          </cell>
          <cell r="C150">
            <v>90</v>
          </cell>
          <cell r="D150">
            <v>5.0339999999999998</v>
          </cell>
        </row>
        <row r="151">
          <cell r="A151">
            <v>3279</v>
          </cell>
          <cell r="B151">
            <v>40</v>
          </cell>
          <cell r="C151">
            <v>93</v>
          </cell>
          <cell r="D151">
            <v>2.3491999999999997</v>
          </cell>
        </row>
        <row r="152">
          <cell r="A152">
            <v>5874</v>
          </cell>
          <cell r="B152">
            <v>35</v>
          </cell>
          <cell r="C152">
            <v>80</v>
          </cell>
          <cell r="D152">
            <v>5.8729999999999993</v>
          </cell>
        </row>
        <row r="153">
          <cell r="A153">
            <v>3278</v>
          </cell>
          <cell r="B153">
            <v>45</v>
          </cell>
          <cell r="C153">
            <v>92</v>
          </cell>
          <cell r="D153">
            <v>3.0203999999999995</v>
          </cell>
        </row>
        <row r="154">
          <cell r="B154">
            <v>530</v>
          </cell>
          <cell r="D154">
            <v>72.909100000000009</v>
          </cell>
        </row>
        <row r="155">
          <cell r="A155">
            <v>5668</v>
          </cell>
          <cell r="B155">
            <v>50</v>
          </cell>
          <cell r="C155">
            <v>95</v>
          </cell>
          <cell r="D155">
            <v>2.0975000000000001</v>
          </cell>
        </row>
        <row r="156">
          <cell r="A156">
            <v>9336</v>
          </cell>
          <cell r="B156">
            <v>40</v>
          </cell>
          <cell r="C156">
            <v>75</v>
          </cell>
          <cell r="D156">
            <v>8.39</v>
          </cell>
        </row>
        <row r="157">
          <cell r="A157">
            <v>1628</v>
          </cell>
          <cell r="B157">
            <v>55</v>
          </cell>
          <cell r="C157">
            <v>90</v>
          </cell>
          <cell r="D157">
            <v>4.6144999999999996</v>
          </cell>
        </row>
        <row r="158">
          <cell r="A158">
            <v>6744</v>
          </cell>
          <cell r="B158">
            <v>45</v>
          </cell>
          <cell r="C158">
            <v>85</v>
          </cell>
          <cell r="D158">
            <v>5.6632499999999997</v>
          </cell>
        </row>
        <row r="159">
          <cell r="A159">
            <v>562</v>
          </cell>
          <cell r="B159">
            <v>60</v>
          </cell>
          <cell r="C159">
            <v>90</v>
          </cell>
          <cell r="D159">
            <v>5.0339999999999998</v>
          </cell>
        </row>
        <row r="160">
          <cell r="A160">
            <v>2142</v>
          </cell>
          <cell r="B160">
            <v>25</v>
          </cell>
          <cell r="C160">
            <v>80</v>
          </cell>
          <cell r="D160">
            <v>4.1950000000000003</v>
          </cell>
        </row>
        <row r="161">
          <cell r="A161">
            <v>4632</v>
          </cell>
          <cell r="B161">
            <v>20</v>
          </cell>
          <cell r="C161">
            <v>60</v>
          </cell>
          <cell r="D161">
            <v>6.7119999999999997</v>
          </cell>
        </row>
        <row r="162">
          <cell r="A162">
            <v>9720</v>
          </cell>
          <cell r="B162">
            <v>50</v>
          </cell>
          <cell r="C162">
            <v>55</v>
          </cell>
          <cell r="D162">
            <v>18.877500000000001</v>
          </cell>
        </row>
        <row r="163">
          <cell r="A163">
            <v>9536</v>
          </cell>
          <cell r="B163">
            <v>50</v>
          </cell>
          <cell r="C163">
            <v>80</v>
          </cell>
          <cell r="D163">
            <v>8.39</v>
          </cell>
        </row>
        <row r="164">
          <cell r="A164">
            <v>561</v>
          </cell>
          <cell r="B164">
            <v>60</v>
          </cell>
          <cell r="C164">
            <v>95</v>
          </cell>
          <cell r="D164">
            <v>2.5169999999999999</v>
          </cell>
        </row>
        <row r="165">
          <cell r="A165">
            <v>2917</v>
          </cell>
          <cell r="B165">
            <v>45</v>
          </cell>
          <cell r="C165">
            <v>95</v>
          </cell>
          <cell r="D165">
            <v>1.88775</v>
          </cell>
        </row>
        <row r="166">
          <cell r="A166">
            <v>9449</v>
          </cell>
          <cell r="B166">
            <v>60</v>
          </cell>
          <cell r="C166">
            <v>85</v>
          </cell>
          <cell r="D166">
            <v>7.5510000000000002</v>
          </cell>
        </row>
        <row r="167">
          <cell r="A167">
            <v>9061</v>
          </cell>
          <cell r="B167">
            <v>50</v>
          </cell>
          <cell r="C167">
            <v>95</v>
          </cell>
          <cell r="D167">
            <v>2.0975000000000001</v>
          </cell>
        </row>
        <row r="168">
          <cell r="A168">
            <v>5826</v>
          </cell>
          <cell r="B168">
            <v>30</v>
          </cell>
          <cell r="C168">
            <v>90</v>
          </cell>
          <cell r="D168">
            <v>2.5169999999999999</v>
          </cell>
        </row>
        <row r="169">
          <cell r="B169">
            <v>640</v>
          </cell>
          <cell r="D169">
            <v>80.543999999999983</v>
          </cell>
        </row>
        <row r="170">
          <cell r="A170">
            <v>7288</v>
          </cell>
          <cell r="B170">
            <v>10</v>
          </cell>
          <cell r="C170">
            <v>70</v>
          </cell>
          <cell r="D170">
            <v>2.5169999999999999</v>
          </cell>
        </row>
        <row r="171">
          <cell r="A171">
            <v>9091</v>
          </cell>
          <cell r="B171">
            <v>20</v>
          </cell>
          <cell r="C171">
            <v>90</v>
          </cell>
          <cell r="D171">
            <v>1.6779999999999999</v>
          </cell>
        </row>
        <row r="172">
          <cell r="A172">
            <v>6405</v>
          </cell>
          <cell r="B172">
            <v>60</v>
          </cell>
          <cell r="C172">
            <v>75</v>
          </cell>
          <cell r="D172">
            <v>12.585000000000001</v>
          </cell>
        </row>
        <row r="173">
          <cell r="A173">
            <v>2184</v>
          </cell>
          <cell r="B173">
            <v>40</v>
          </cell>
          <cell r="C173">
            <v>65</v>
          </cell>
          <cell r="D173">
            <v>11.745999999999999</v>
          </cell>
        </row>
        <row r="174">
          <cell r="A174">
            <v>4366</v>
          </cell>
          <cell r="B174">
            <v>80</v>
          </cell>
          <cell r="C174">
            <v>65</v>
          </cell>
          <cell r="D174">
            <v>23.491999999999997</v>
          </cell>
        </row>
        <row r="175">
          <cell r="A175">
            <v>4132</v>
          </cell>
          <cell r="B175">
            <v>35</v>
          </cell>
          <cell r="C175">
            <v>95</v>
          </cell>
          <cell r="D175">
            <v>1.4682499999999998</v>
          </cell>
        </row>
        <row r="176">
          <cell r="A176">
            <v>5971</v>
          </cell>
          <cell r="B176">
            <v>25</v>
          </cell>
          <cell r="C176">
            <v>55</v>
          </cell>
          <cell r="D176">
            <v>9.4387500000000006</v>
          </cell>
        </row>
        <row r="177">
          <cell r="A177">
            <v>4211</v>
          </cell>
          <cell r="B177">
            <v>60</v>
          </cell>
          <cell r="C177">
            <v>90</v>
          </cell>
          <cell r="D177">
            <v>5.0339999999999998</v>
          </cell>
        </row>
        <row r="178">
          <cell r="A178">
            <v>8306</v>
          </cell>
          <cell r="B178">
            <v>50</v>
          </cell>
          <cell r="C178">
            <v>92</v>
          </cell>
          <cell r="D178">
            <v>3.3559999999999999</v>
          </cell>
        </row>
        <row r="179">
          <cell r="A179">
            <v>3846</v>
          </cell>
          <cell r="B179">
            <v>55</v>
          </cell>
          <cell r="C179">
            <v>75</v>
          </cell>
          <cell r="D179">
            <v>11.536250000000001</v>
          </cell>
        </row>
        <row r="180">
          <cell r="A180">
            <v>2453</v>
          </cell>
          <cell r="B180">
            <v>40</v>
          </cell>
          <cell r="C180">
            <v>85</v>
          </cell>
          <cell r="D180">
            <v>5.0339999999999998</v>
          </cell>
        </row>
        <row r="181">
          <cell r="A181">
            <v>3501</v>
          </cell>
          <cell r="B181">
            <v>45</v>
          </cell>
          <cell r="C181">
            <v>95</v>
          </cell>
          <cell r="D181">
            <v>1.88775</v>
          </cell>
        </row>
        <row r="182">
          <cell r="B182">
            <v>520</v>
          </cell>
          <cell r="D182">
            <v>89.772999999999996</v>
          </cell>
        </row>
        <row r="183">
          <cell r="A183">
            <v>3498</v>
          </cell>
          <cell r="B183">
            <v>35</v>
          </cell>
          <cell r="C183">
            <v>85</v>
          </cell>
          <cell r="D183">
            <v>4.4047499999999999</v>
          </cell>
        </row>
        <row r="184">
          <cell r="A184">
            <v>8783</v>
          </cell>
          <cell r="B184">
            <v>25</v>
          </cell>
          <cell r="C184">
            <v>80</v>
          </cell>
          <cell r="D184">
            <v>4.1950000000000003</v>
          </cell>
        </row>
        <row r="185">
          <cell r="A185">
            <v>3275</v>
          </cell>
          <cell r="B185">
            <v>40</v>
          </cell>
          <cell r="C185">
            <v>90</v>
          </cell>
          <cell r="D185">
            <v>3.3559999999999999</v>
          </cell>
        </row>
        <row r="186">
          <cell r="A186">
            <v>6852</v>
          </cell>
          <cell r="B186">
            <v>40</v>
          </cell>
          <cell r="C186">
            <v>80</v>
          </cell>
          <cell r="D186">
            <v>6.7119999999999997</v>
          </cell>
        </row>
        <row r="187">
          <cell r="A187">
            <v>7448</v>
          </cell>
          <cell r="B187">
            <v>45</v>
          </cell>
          <cell r="C187">
            <v>80</v>
          </cell>
          <cell r="D187">
            <v>7.5510000000000002</v>
          </cell>
        </row>
        <row r="188">
          <cell r="A188">
            <v>5604</v>
          </cell>
          <cell r="B188">
            <v>50</v>
          </cell>
          <cell r="C188">
            <v>90</v>
          </cell>
          <cell r="D188">
            <v>4.1950000000000003</v>
          </cell>
        </row>
        <row r="189">
          <cell r="A189">
            <v>3529</v>
          </cell>
          <cell r="B189">
            <v>50</v>
          </cell>
          <cell r="C189">
            <v>94</v>
          </cell>
          <cell r="D189">
            <v>2.5169999999999999</v>
          </cell>
        </row>
        <row r="190">
          <cell r="A190">
            <v>9089</v>
          </cell>
          <cell r="B190">
            <v>30</v>
          </cell>
          <cell r="C190">
            <v>85</v>
          </cell>
          <cell r="D190">
            <v>3.7755000000000001</v>
          </cell>
        </row>
        <row r="191">
          <cell r="A191">
            <v>4289</v>
          </cell>
          <cell r="B191">
            <v>55</v>
          </cell>
          <cell r="C191">
            <v>90</v>
          </cell>
          <cell r="D191">
            <v>4.6144999999999996</v>
          </cell>
        </row>
        <row r="192">
          <cell r="A192">
            <v>8708</v>
          </cell>
          <cell r="B192">
            <v>50</v>
          </cell>
          <cell r="C192">
            <v>95</v>
          </cell>
          <cell r="D192">
            <v>2.0975000000000001</v>
          </cell>
        </row>
        <row r="193">
          <cell r="A193">
            <v>3496</v>
          </cell>
          <cell r="B193">
            <v>40</v>
          </cell>
          <cell r="C193">
            <v>85</v>
          </cell>
          <cell r="D193">
            <v>5.0339999999999998</v>
          </cell>
        </row>
        <row r="194">
          <cell r="B194">
            <v>460</v>
          </cell>
          <cell r="D194">
            <v>48.452249999999999</v>
          </cell>
        </row>
        <row r="195">
          <cell r="A195">
            <v>5667</v>
          </cell>
          <cell r="B195">
            <v>55</v>
          </cell>
          <cell r="C195">
            <v>90</v>
          </cell>
          <cell r="D195">
            <v>4.6144999999999996</v>
          </cell>
        </row>
        <row r="196">
          <cell r="A196">
            <v>4838</v>
          </cell>
          <cell r="B196">
            <v>20</v>
          </cell>
          <cell r="C196">
            <v>75</v>
          </cell>
          <cell r="D196">
            <v>4.1950000000000003</v>
          </cell>
        </row>
        <row r="197">
          <cell r="A197">
            <v>5974</v>
          </cell>
          <cell r="B197">
            <v>10</v>
          </cell>
          <cell r="C197">
            <v>50</v>
          </cell>
          <cell r="D197">
            <v>4.1950000000000003</v>
          </cell>
        </row>
        <row r="198">
          <cell r="A198">
            <v>6847</v>
          </cell>
          <cell r="B198">
            <v>40</v>
          </cell>
          <cell r="C198">
            <v>90</v>
          </cell>
          <cell r="D198">
            <v>3.3559999999999999</v>
          </cell>
        </row>
        <row r="199">
          <cell r="A199">
            <v>9546</v>
          </cell>
          <cell r="B199">
            <v>45</v>
          </cell>
          <cell r="C199">
            <v>85</v>
          </cell>
          <cell r="D199">
            <v>5.6632499999999997</v>
          </cell>
        </row>
        <row r="200">
          <cell r="A200">
            <v>8705</v>
          </cell>
          <cell r="B200">
            <v>45</v>
          </cell>
          <cell r="C200">
            <v>70</v>
          </cell>
          <cell r="D200">
            <v>11.326499999999999</v>
          </cell>
        </row>
        <row r="201">
          <cell r="A201">
            <v>9730</v>
          </cell>
          <cell r="B201">
            <v>35</v>
          </cell>
          <cell r="C201">
            <v>85</v>
          </cell>
          <cell r="D201">
            <v>4.4047499999999999</v>
          </cell>
        </row>
        <row r="202">
          <cell r="A202">
            <v>8363</v>
          </cell>
          <cell r="B202">
            <v>55</v>
          </cell>
          <cell r="C202">
            <v>55</v>
          </cell>
          <cell r="D202">
            <v>20.765250000000002</v>
          </cell>
        </row>
        <row r="203">
          <cell r="B203">
            <v>305</v>
          </cell>
          <cell r="D203">
            <v>58.520250000000004</v>
          </cell>
        </row>
        <row r="204">
          <cell r="A204" t="str">
            <v>ИТОГО</v>
          </cell>
          <cell r="B204">
            <v>2940</v>
          </cell>
          <cell r="D204">
            <v>446.68359999999996</v>
          </cell>
        </row>
        <row r="205">
          <cell r="A205">
            <v>1632</v>
          </cell>
          <cell r="B205">
            <v>50</v>
          </cell>
          <cell r="C205">
            <v>93</v>
          </cell>
          <cell r="D205">
            <v>2.9364999999999997</v>
          </cell>
        </row>
        <row r="206">
          <cell r="A206">
            <v>2751</v>
          </cell>
          <cell r="B206">
            <v>40</v>
          </cell>
          <cell r="C206">
            <v>95</v>
          </cell>
          <cell r="D206">
            <v>1.6779999999999999</v>
          </cell>
        </row>
        <row r="207">
          <cell r="A207">
            <v>4511</v>
          </cell>
          <cell r="B207">
            <v>60</v>
          </cell>
          <cell r="C207">
            <v>85</v>
          </cell>
          <cell r="D207">
            <v>7.5510000000000002</v>
          </cell>
        </row>
        <row r="208">
          <cell r="A208">
            <v>5985</v>
          </cell>
          <cell r="B208">
            <v>60</v>
          </cell>
          <cell r="C208">
            <v>80</v>
          </cell>
          <cell r="D208">
            <v>10.068</v>
          </cell>
        </row>
        <row r="209">
          <cell r="A209">
            <v>3287</v>
          </cell>
          <cell r="B209">
            <v>15</v>
          </cell>
          <cell r="C209">
            <v>60</v>
          </cell>
          <cell r="D209">
            <v>5.0339999999999998</v>
          </cell>
        </row>
        <row r="210">
          <cell r="A210">
            <v>3923</v>
          </cell>
          <cell r="B210">
            <v>50</v>
          </cell>
          <cell r="C210">
            <v>90</v>
          </cell>
          <cell r="D210">
            <v>4.1950000000000003</v>
          </cell>
        </row>
        <row r="211">
          <cell r="A211">
            <v>5233</v>
          </cell>
          <cell r="B211">
            <v>70</v>
          </cell>
          <cell r="C211">
            <v>65</v>
          </cell>
          <cell r="D211">
            <v>20.555499999999999</v>
          </cell>
        </row>
        <row r="212">
          <cell r="A212">
            <v>7200</v>
          </cell>
          <cell r="B212">
            <v>65</v>
          </cell>
          <cell r="C212">
            <v>60</v>
          </cell>
          <cell r="D212">
            <v>21.814</v>
          </cell>
        </row>
        <row r="213">
          <cell r="A213">
            <v>3489</v>
          </cell>
          <cell r="B213">
            <v>15</v>
          </cell>
          <cell r="C213">
            <v>85</v>
          </cell>
          <cell r="D213">
            <v>1.88775</v>
          </cell>
        </row>
        <row r="214">
          <cell r="A214">
            <v>3272</v>
          </cell>
          <cell r="B214">
            <v>35</v>
          </cell>
          <cell r="C214">
            <v>80</v>
          </cell>
          <cell r="D214">
            <v>5.8729999999999993</v>
          </cell>
        </row>
        <row r="215">
          <cell r="A215">
            <v>3822</v>
          </cell>
          <cell r="B215">
            <v>35</v>
          </cell>
          <cell r="C215">
            <v>90</v>
          </cell>
          <cell r="D215">
            <v>2.9364999999999997</v>
          </cell>
        </row>
        <row r="216">
          <cell r="A216">
            <v>2903</v>
          </cell>
          <cell r="B216">
            <v>10</v>
          </cell>
          <cell r="C216">
            <v>70</v>
          </cell>
          <cell r="D216">
            <v>2.5169999999999999</v>
          </cell>
        </row>
        <row r="217">
          <cell r="B217">
            <v>505</v>
          </cell>
          <cell r="D217">
            <v>87.046249999999986</v>
          </cell>
        </row>
        <row r="218">
          <cell r="A218">
            <v>6131</v>
          </cell>
          <cell r="C218" t="str">
            <v>кф</v>
          </cell>
        </row>
        <row r="219">
          <cell r="A219">
            <v>9428</v>
          </cell>
          <cell r="B219">
            <v>5</v>
          </cell>
          <cell r="C219">
            <v>50</v>
          </cell>
          <cell r="D219">
            <v>2.0975000000000001</v>
          </cell>
        </row>
        <row r="220">
          <cell r="A220">
            <v>3981</v>
          </cell>
          <cell r="B220">
            <v>10</v>
          </cell>
          <cell r="C220">
            <v>50</v>
          </cell>
          <cell r="D220">
            <v>4.1950000000000003</v>
          </cell>
        </row>
        <row r="221">
          <cell r="A221">
            <v>8114</v>
          </cell>
          <cell r="B221">
            <v>30</v>
          </cell>
          <cell r="C221">
            <v>75</v>
          </cell>
          <cell r="D221">
            <v>6.2925000000000004</v>
          </cell>
        </row>
        <row r="222">
          <cell r="A222">
            <v>5827</v>
          </cell>
          <cell r="B222">
            <v>50</v>
          </cell>
          <cell r="C222">
            <v>93</v>
          </cell>
          <cell r="D222">
            <v>2.9364999999999997</v>
          </cell>
        </row>
        <row r="223">
          <cell r="A223">
            <v>3296</v>
          </cell>
          <cell r="B223">
            <v>50</v>
          </cell>
          <cell r="C223">
            <v>80</v>
          </cell>
          <cell r="D223">
            <v>8.39</v>
          </cell>
        </row>
        <row r="224">
          <cell r="A224">
            <v>4626</v>
          </cell>
          <cell r="C224" t="str">
            <v>бд</v>
          </cell>
        </row>
        <row r="225">
          <cell r="A225">
            <v>897</v>
          </cell>
          <cell r="B225">
            <v>15</v>
          </cell>
          <cell r="C225">
            <v>93</v>
          </cell>
          <cell r="D225">
            <v>0.88095000000000001</v>
          </cell>
        </row>
        <row r="226">
          <cell r="A226">
            <v>206</v>
          </cell>
          <cell r="B226">
            <v>45</v>
          </cell>
          <cell r="C226">
            <v>90</v>
          </cell>
          <cell r="D226">
            <v>3.7755000000000001</v>
          </cell>
        </row>
        <row r="227">
          <cell r="A227">
            <v>2956</v>
          </cell>
          <cell r="B227">
            <v>25</v>
          </cell>
          <cell r="C227">
            <v>85</v>
          </cell>
          <cell r="D227">
            <v>3.1462500000000002</v>
          </cell>
        </row>
        <row r="228">
          <cell r="A228">
            <v>3269</v>
          </cell>
          <cell r="B228">
            <v>55</v>
          </cell>
          <cell r="C228">
            <v>65</v>
          </cell>
          <cell r="D228">
            <v>16.150750000000002</v>
          </cell>
        </row>
        <row r="229">
          <cell r="A229">
            <v>9419</v>
          </cell>
          <cell r="B229">
            <v>50</v>
          </cell>
          <cell r="C229">
            <v>60</v>
          </cell>
          <cell r="D229">
            <v>16.78</v>
          </cell>
        </row>
        <row r="230">
          <cell r="A230">
            <v>9544</v>
          </cell>
          <cell r="B230">
            <v>60</v>
          </cell>
          <cell r="C230">
            <v>95</v>
          </cell>
          <cell r="D230">
            <v>2.5169999999999999</v>
          </cell>
        </row>
        <row r="231">
          <cell r="B231">
            <v>395</v>
          </cell>
          <cell r="D231">
            <v>67.16194999999999</v>
          </cell>
        </row>
        <row r="232">
          <cell r="A232">
            <v>9633</v>
          </cell>
          <cell r="B232">
            <v>45</v>
          </cell>
          <cell r="C232">
            <v>75</v>
          </cell>
          <cell r="D232">
            <v>9.4387500000000006</v>
          </cell>
        </row>
        <row r="233">
          <cell r="A233">
            <v>4129</v>
          </cell>
          <cell r="B233">
            <v>20</v>
          </cell>
          <cell r="C233">
            <v>95</v>
          </cell>
          <cell r="D233">
            <v>0.83899999999999997</v>
          </cell>
        </row>
        <row r="234">
          <cell r="A234">
            <v>9426</v>
          </cell>
          <cell r="B234">
            <v>20</v>
          </cell>
          <cell r="C234">
            <v>45</v>
          </cell>
          <cell r="D234">
            <v>9.2289999999999992</v>
          </cell>
        </row>
        <row r="235">
          <cell r="A235">
            <v>4154</v>
          </cell>
          <cell r="B235">
            <v>50</v>
          </cell>
          <cell r="C235">
            <v>65</v>
          </cell>
          <cell r="D235">
            <v>14.682499999999999</v>
          </cell>
        </row>
        <row r="236">
          <cell r="A236">
            <v>3288</v>
          </cell>
          <cell r="B236">
            <v>60</v>
          </cell>
          <cell r="C236">
            <v>95</v>
          </cell>
          <cell r="D236">
            <v>2.5169999999999999</v>
          </cell>
        </row>
        <row r="237">
          <cell r="A237">
            <v>9433</v>
          </cell>
          <cell r="B237">
            <v>30</v>
          </cell>
          <cell r="C237">
            <v>60</v>
          </cell>
          <cell r="D237">
            <v>10.068</v>
          </cell>
        </row>
        <row r="238">
          <cell r="A238">
            <v>8772</v>
          </cell>
          <cell r="B238">
            <v>30</v>
          </cell>
          <cell r="C238">
            <v>85</v>
          </cell>
          <cell r="D238">
            <v>3.7755000000000001</v>
          </cell>
        </row>
        <row r="239">
          <cell r="A239">
            <v>292</v>
          </cell>
          <cell r="B239">
            <v>60</v>
          </cell>
          <cell r="C239">
            <v>92</v>
          </cell>
          <cell r="D239">
            <v>4.0271999999999997</v>
          </cell>
        </row>
        <row r="240">
          <cell r="A240">
            <v>1756</v>
          </cell>
          <cell r="B240">
            <v>20</v>
          </cell>
          <cell r="C240">
            <v>80</v>
          </cell>
          <cell r="D240">
            <v>3.3559999999999999</v>
          </cell>
        </row>
        <row r="241">
          <cell r="A241">
            <v>573</v>
          </cell>
          <cell r="B241">
            <v>35</v>
          </cell>
          <cell r="C241">
            <v>70</v>
          </cell>
          <cell r="D241">
            <v>8.8094999999999999</v>
          </cell>
        </row>
        <row r="242">
          <cell r="B242">
            <v>370</v>
          </cell>
          <cell r="D242">
            <v>66.742450000000005</v>
          </cell>
        </row>
        <row r="243">
          <cell r="A243">
            <v>7320</v>
          </cell>
          <cell r="B243">
            <v>70</v>
          </cell>
          <cell r="C243">
            <v>93</v>
          </cell>
          <cell r="D243">
            <v>4.1110999999999995</v>
          </cell>
        </row>
        <row r="244">
          <cell r="A244">
            <v>203</v>
          </cell>
          <cell r="B244">
            <v>30</v>
          </cell>
          <cell r="C244">
            <v>93</v>
          </cell>
          <cell r="D244">
            <v>1.7619</v>
          </cell>
        </row>
        <row r="245">
          <cell r="A245">
            <v>6096</v>
          </cell>
          <cell r="B245">
            <v>25</v>
          </cell>
          <cell r="C245">
            <v>95</v>
          </cell>
          <cell r="D245">
            <v>1.0487500000000001</v>
          </cell>
        </row>
        <row r="246">
          <cell r="A246">
            <v>4437</v>
          </cell>
          <cell r="B246">
            <v>55</v>
          </cell>
          <cell r="C246">
            <v>90</v>
          </cell>
          <cell r="D246">
            <v>4.6144999999999996</v>
          </cell>
        </row>
        <row r="247">
          <cell r="A247">
            <v>4142</v>
          </cell>
          <cell r="B247">
            <v>50</v>
          </cell>
          <cell r="C247">
            <v>85</v>
          </cell>
          <cell r="D247">
            <v>6.2925000000000004</v>
          </cell>
        </row>
        <row r="248">
          <cell r="A248">
            <v>3299</v>
          </cell>
          <cell r="B248">
            <v>5</v>
          </cell>
          <cell r="C248">
            <v>70</v>
          </cell>
          <cell r="D248">
            <v>1.2585</v>
          </cell>
        </row>
        <row r="249">
          <cell r="A249">
            <v>8375</v>
          </cell>
          <cell r="B249">
            <v>45</v>
          </cell>
          <cell r="C249">
            <v>65</v>
          </cell>
          <cell r="D249">
            <v>13.21425</v>
          </cell>
        </row>
        <row r="250">
          <cell r="A250">
            <v>6468</v>
          </cell>
          <cell r="B250">
            <v>45</v>
          </cell>
          <cell r="C250">
            <v>65</v>
          </cell>
          <cell r="D250">
            <v>13.21425</v>
          </cell>
        </row>
        <row r="251">
          <cell r="A251">
            <v>9147</v>
          </cell>
          <cell r="B251">
            <v>50</v>
          </cell>
          <cell r="C251">
            <v>85</v>
          </cell>
          <cell r="D251">
            <v>6.2925000000000004</v>
          </cell>
        </row>
        <row r="252">
          <cell r="A252">
            <v>8771</v>
          </cell>
          <cell r="B252">
            <v>30</v>
          </cell>
          <cell r="C252">
            <v>50</v>
          </cell>
          <cell r="D252">
            <v>12.585000000000001</v>
          </cell>
        </row>
        <row r="253">
          <cell r="A253">
            <v>5783</v>
          </cell>
          <cell r="B253">
            <v>15</v>
          </cell>
          <cell r="C253">
            <v>85</v>
          </cell>
          <cell r="D253">
            <v>1.88775</v>
          </cell>
        </row>
        <row r="254">
          <cell r="A254">
            <v>6158</v>
          </cell>
          <cell r="B254">
            <v>65</v>
          </cell>
          <cell r="C254">
            <v>80</v>
          </cell>
          <cell r="D254">
            <v>10.907</v>
          </cell>
        </row>
        <row r="255">
          <cell r="A255">
            <v>5872</v>
          </cell>
          <cell r="B255">
            <v>30</v>
          </cell>
          <cell r="C255">
            <v>92</v>
          </cell>
          <cell r="D255">
            <v>2.0135999999999998</v>
          </cell>
        </row>
        <row r="256">
          <cell r="A256">
            <v>5871</v>
          </cell>
          <cell r="B256">
            <v>45</v>
          </cell>
          <cell r="C256">
            <v>75</v>
          </cell>
          <cell r="D256">
            <v>9.4387500000000006</v>
          </cell>
        </row>
        <row r="257">
          <cell r="A257">
            <v>4207</v>
          </cell>
          <cell r="B257">
            <v>60</v>
          </cell>
          <cell r="C257">
            <v>90</v>
          </cell>
          <cell r="D257">
            <v>5.0339999999999998</v>
          </cell>
        </row>
        <row r="258">
          <cell r="A258">
            <v>7715</v>
          </cell>
          <cell r="B258">
            <v>25</v>
          </cell>
          <cell r="C258">
            <v>85</v>
          </cell>
          <cell r="D258">
            <v>3.1462500000000002</v>
          </cell>
        </row>
        <row r="259">
          <cell r="A259">
            <v>2957</v>
          </cell>
          <cell r="B259">
            <v>50</v>
          </cell>
          <cell r="C259">
            <v>92</v>
          </cell>
          <cell r="D259">
            <v>3.3559999999999999</v>
          </cell>
        </row>
        <row r="260">
          <cell r="B260">
            <v>695</v>
          </cell>
          <cell r="D260">
            <v>100.17659999999998</v>
          </cell>
        </row>
        <row r="261">
          <cell r="A261">
            <v>3273</v>
          </cell>
          <cell r="B261">
            <v>50</v>
          </cell>
          <cell r="C261">
            <v>95</v>
          </cell>
          <cell r="D261">
            <v>2.0975000000000001</v>
          </cell>
        </row>
        <row r="262">
          <cell r="A262">
            <v>3608</v>
          </cell>
          <cell r="B262">
            <v>35</v>
          </cell>
          <cell r="C262">
            <v>90</v>
          </cell>
          <cell r="D262">
            <v>2.9364999999999997</v>
          </cell>
        </row>
        <row r="263">
          <cell r="A263">
            <v>8932</v>
          </cell>
          <cell r="B263">
            <v>55</v>
          </cell>
          <cell r="C263">
            <v>55</v>
          </cell>
          <cell r="D263">
            <v>20.765250000000002</v>
          </cell>
        </row>
        <row r="264">
          <cell r="A264">
            <v>6469</v>
          </cell>
          <cell r="B264">
            <v>25</v>
          </cell>
          <cell r="C264">
            <v>50</v>
          </cell>
          <cell r="D264">
            <v>10.487500000000001</v>
          </cell>
        </row>
        <row r="265">
          <cell r="A265">
            <v>4852</v>
          </cell>
          <cell r="B265">
            <v>50</v>
          </cell>
          <cell r="C265">
            <v>75</v>
          </cell>
          <cell r="D265">
            <v>10.487500000000001</v>
          </cell>
        </row>
        <row r="266">
          <cell r="A266">
            <v>563</v>
          </cell>
          <cell r="B266">
            <v>45</v>
          </cell>
          <cell r="C266">
            <v>75</v>
          </cell>
          <cell r="D266">
            <v>9.4387500000000006</v>
          </cell>
        </row>
        <row r="267">
          <cell r="A267">
            <v>4948</v>
          </cell>
          <cell r="B267">
            <v>50</v>
          </cell>
          <cell r="C267">
            <v>90</v>
          </cell>
          <cell r="D267">
            <v>4.1950000000000003</v>
          </cell>
        </row>
        <row r="268">
          <cell r="A268">
            <v>4783</v>
          </cell>
          <cell r="B268">
            <v>75</v>
          </cell>
          <cell r="C268">
            <v>90</v>
          </cell>
          <cell r="D268">
            <v>6.2925000000000004</v>
          </cell>
        </row>
        <row r="269">
          <cell r="A269">
            <v>4296</v>
          </cell>
          <cell r="B269">
            <v>20</v>
          </cell>
          <cell r="C269">
            <v>65</v>
          </cell>
          <cell r="D269">
            <v>5.8729999999999993</v>
          </cell>
        </row>
        <row r="270">
          <cell r="A270">
            <v>3488</v>
          </cell>
          <cell r="B270">
            <v>55</v>
          </cell>
          <cell r="C270">
            <v>60</v>
          </cell>
          <cell r="D270">
            <v>18.457999999999998</v>
          </cell>
        </row>
        <row r="271">
          <cell r="A271">
            <v>2753</v>
          </cell>
          <cell r="B271">
            <v>50</v>
          </cell>
          <cell r="C271">
            <v>90</v>
          </cell>
          <cell r="D271">
            <v>4.1950000000000003</v>
          </cell>
        </row>
        <row r="272">
          <cell r="A272">
            <v>9418</v>
          </cell>
          <cell r="B272">
            <v>110</v>
          </cell>
          <cell r="C272">
            <v>85</v>
          </cell>
          <cell r="D272">
            <v>13.843499999999999</v>
          </cell>
        </row>
        <row r="273">
          <cell r="A273">
            <v>4216</v>
          </cell>
          <cell r="B273">
            <v>65</v>
          </cell>
          <cell r="C273">
            <v>90</v>
          </cell>
          <cell r="D273">
            <v>5.4535</v>
          </cell>
        </row>
        <row r="274">
          <cell r="A274">
            <v>2909</v>
          </cell>
          <cell r="B274">
            <v>40</v>
          </cell>
          <cell r="C274">
            <v>90</v>
          </cell>
          <cell r="D274">
            <v>3.3559999999999999</v>
          </cell>
        </row>
        <row r="275">
          <cell r="A275">
            <v>2794</v>
          </cell>
          <cell r="B275">
            <v>60</v>
          </cell>
          <cell r="C275">
            <v>95</v>
          </cell>
          <cell r="D275">
            <v>2.5169999999999999</v>
          </cell>
        </row>
        <row r="276">
          <cell r="A276">
            <v>2853</v>
          </cell>
          <cell r="B276">
            <v>40</v>
          </cell>
          <cell r="C276">
            <v>70</v>
          </cell>
          <cell r="D276">
            <v>10.068</v>
          </cell>
        </row>
        <row r="277">
          <cell r="B277">
            <v>825</v>
          </cell>
          <cell r="D277">
            <v>130.46449999999999</v>
          </cell>
        </row>
        <row r="278">
          <cell r="A278">
            <v>9732</v>
          </cell>
          <cell r="B278">
            <v>50</v>
          </cell>
          <cell r="C278">
            <v>65</v>
          </cell>
          <cell r="D278">
            <v>14.682499999999999</v>
          </cell>
        </row>
        <row r="279">
          <cell r="A279">
            <v>8756</v>
          </cell>
          <cell r="B279">
            <v>30</v>
          </cell>
          <cell r="C279">
            <v>80</v>
          </cell>
          <cell r="D279">
            <v>5.0339999999999998</v>
          </cell>
        </row>
        <row r="280">
          <cell r="A280">
            <v>7353</v>
          </cell>
          <cell r="B280">
            <v>70</v>
          </cell>
          <cell r="C280">
            <v>60</v>
          </cell>
          <cell r="D280">
            <v>23.491999999999997</v>
          </cell>
        </row>
        <row r="281">
          <cell r="A281">
            <v>7305</v>
          </cell>
          <cell r="B281">
            <v>50</v>
          </cell>
          <cell r="C281">
            <v>85</v>
          </cell>
          <cell r="D281">
            <v>6.2925000000000004</v>
          </cell>
        </row>
        <row r="282">
          <cell r="A282">
            <v>3492</v>
          </cell>
          <cell r="B282">
            <v>55</v>
          </cell>
          <cell r="C282">
            <v>85</v>
          </cell>
          <cell r="D282">
            <v>6.9217499999999994</v>
          </cell>
        </row>
        <row r="283">
          <cell r="A283">
            <v>4139</v>
          </cell>
          <cell r="B283">
            <v>80</v>
          </cell>
          <cell r="C283">
            <v>85</v>
          </cell>
          <cell r="D283">
            <v>10.068</v>
          </cell>
        </row>
        <row r="284">
          <cell r="A284">
            <v>6153</v>
          </cell>
          <cell r="B284">
            <v>40</v>
          </cell>
          <cell r="C284">
            <v>90</v>
          </cell>
          <cell r="D284">
            <v>3.3559999999999999</v>
          </cell>
        </row>
        <row r="285">
          <cell r="A285">
            <v>9740</v>
          </cell>
          <cell r="B285">
            <v>50</v>
          </cell>
          <cell r="C285">
            <v>55</v>
          </cell>
          <cell r="D285">
            <v>18.877500000000001</v>
          </cell>
        </row>
        <row r="286">
          <cell r="A286">
            <v>2157</v>
          </cell>
          <cell r="B286">
            <v>40</v>
          </cell>
          <cell r="C286">
            <v>90</v>
          </cell>
          <cell r="D286">
            <v>3.3559999999999999</v>
          </cell>
        </row>
        <row r="287">
          <cell r="A287">
            <v>9135</v>
          </cell>
          <cell r="C287" t="str">
            <v>бд</v>
          </cell>
        </row>
        <row r="288">
          <cell r="A288">
            <v>9723</v>
          </cell>
          <cell r="B288">
            <v>40</v>
          </cell>
          <cell r="C288">
            <v>50</v>
          </cell>
          <cell r="D288">
            <v>16.78</v>
          </cell>
        </row>
        <row r="289">
          <cell r="A289">
            <v>281</v>
          </cell>
          <cell r="B289">
            <v>15</v>
          </cell>
          <cell r="C289">
            <v>80</v>
          </cell>
          <cell r="D289">
            <v>2.5169999999999999</v>
          </cell>
        </row>
        <row r="290">
          <cell r="A290">
            <v>9171</v>
          </cell>
          <cell r="B290">
            <v>70</v>
          </cell>
          <cell r="C290">
            <v>93</v>
          </cell>
          <cell r="D290">
            <v>4.1110999999999995</v>
          </cell>
        </row>
        <row r="291">
          <cell r="A291">
            <v>8782</v>
          </cell>
          <cell r="B291">
            <v>30</v>
          </cell>
          <cell r="C291">
            <v>70</v>
          </cell>
          <cell r="D291">
            <v>7.5510000000000002</v>
          </cell>
        </row>
        <row r="292">
          <cell r="B292">
            <v>620</v>
          </cell>
          <cell r="D292">
            <v>123.03934999999998</v>
          </cell>
        </row>
        <row r="293">
          <cell r="A293">
            <v>3974</v>
          </cell>
          <cell r="B293">
            <v>45</v>
          </cell>
          <cell r="C293">
            <v>65</v>
          </cell>
          <cell r="D293">
            <v>13.21425</v>
          </cell>
        </row>
        <row r="294">
          <cell r="A294">
            <v>3255</v>
          </cell>
          <cell r="B294">
            <v>10</v>
          </cell>
          <cell r="C294">
            <v>80</v>
          </cell>
          <cell r="D294">
            <v>1.6779999999999999</v>
          </cell>
        </row>
        <row r="295">
          <cell r="A295">
            <v>9631</v>
          </cell>
          <cell r="B295">
            <v>30</v>
          </cell>
          <cell r="C295">
            <v>90</v>
          </cell>
          <cell r="D295">
            <v>2.5169999999999999</v>
          </cell>
        </row>
        <row r="296">
          <cell r="A296">
            <v>3986</v>
          </cell>
          <cell r="B296">
            <v>50</v>
          </cell>
          <cell r="C296">
            <v>95</v>
          </cell>
          <cell r="D296">
            <v>2.0975000000000001</v>
          </cell>
        </row>
        <row r="297">
          <cell r="A297">
            <v>3274</v>
          </cell>
          <cell r="B297">
            <v>40</v>
          </cell>
          <cell r="C297">
            <v>90</v>
          </cell>
          <cell r="D297">
            <v>3.3559999999999999</v>
          </cell>
        </row>
        <row r="298">
          <cell r="A298">
            <v>5975</v>
          </cell>
          <cell r="B298">
            <v>45</v>
          </cell>
          <cell r="C298">
            <v>85</v>
          </cell>
          <cell r="D298">
            <v>5.6632499999999997</v>
          </cell>
        </row>
        <row r="299">
          <cell r="A299">
            <v>5947</v>
          </cell>
          <cell r="C299" t="str">
            <v>бд</v>
          </cell>
        </row>
        <row r="300">
          <cell r="A300">
            <v>4131</v>
          </cell>
          <cell r="B300">
            <v>45</v>
          </cell>
          <cell r="C300">
            <v>95</v>
          </cell>
          <cell r="D300">
            <v>1.88775</v>
          </cell>
        </row>
        <row r="301">
          <cell r="A301">
            <v>204</v>
          </cell>
          <cell r="B301">
            <v>25</v>
          </cell>
          <cell r="C301">
            <v>80</v>
          </cell>
          <cell r="D301">
            <v>4.1950000000000003</v>
          </cell>
        </row>
        <row r="302">
          <cell r="A302">
            <v>9512</v>
          </cell>
          <cell r="B302">
            <v>55</v>
          </cell>
          <cell r="C302">
            <v>85</v>
          </cell>
          <cell r="D302">
            <v>6.9217499999999994</v>
          </cell>
        </row>
        <row r="303">
          <cell r="A303">
            <v>9513</v>
          </cell>
          <cell r="B303">
            <v>30</v>
          </cell>
          <cell r="C303">
            <v>92</v>
          </cell>
          <cell r="D303">
            <v>2.0135999999999998</v>
          </cell>
        </row>
        <row r="304">
          <cell r="A304">
            <v>9522</v>
          </cell>
          <cell r="B304">
            <v>40</v>
          </cell>
          <cell r="C304">
            <v>85</v>
          </cell>
          <cell r="D304">
            <v>5.0339999999999998</v>
          </cell>
        </row>
        <row r="305">
          <cell r="A305">
            <v>6735</v>
          </cell>
          <cell r="B305">
            <v>50</v>
          </cell>
          <cell r="C305">
            <v>92</v>
          </cell>
          <cell r="D305">
            <v>3.3559999999999999</v>
          </cell>
        </row>
        <row r="306">
          <cell r="A306">
            <v>4133</v>
          </cell>
          <cell r="B306">
            <v>40</v>
          </cell>
          <cell r="C306">
            <v>80</v>
          </cell>
          <cell r="D306">
            <v>6.7119999999999997</v>
          </cell>
        </row>
        <row r="307">
          <cell r="A307" t="str">
            <v>ИТОГО</v>
          </cell>
          <cell r="B307">
            <v>505</v>
          </cell>
          <cell r="D307">
            <v>58.646100000000004</v>
          </cell>
        </row>
        <row r="308">
          <cell r="A308" t="str">
            <v>ИТОГО</v>
          </cell>
          <cell r="B308">
            <v>3915</v>
          </cell>
          <cell r="D308">
            <v>633.27719999999999</v>
          </cell>
        </row>
        <row r="309">
          <cell r="A309" t="str">
            <v>ИТОГО по ЦДНГ-11</v>
          </cell>
          <cell r="B309">
            <v>10910</v>
          </cell>
          <cell r="D309">
            <v>1568.0490499999999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жим"/>
      <sheetName val="гу-93"/>
      <sheetName val="Лист1"/>
      <sheetName val="гу-13"/>
      <sheetName val="гу-1"/>
      <sheetName val="ПС-4"/>
      <sheetName val="гу-12"/>
      <sheetName val="гу-8"/>
      <sheetName val="гу-60"/>
      <sheetName val="гу-1 ескі"/>
      <sheetName val="пс-4 нов."/>
      <sheetName val="вах ПС-4 (2)"/>
    </sheetNames>
    <sheetDataSet>
      <sheetData sheetId="0">
        <row r="3">
          <cell r="A3" t="str">
            <v>скв</v>
          </cell>
          <cell r="B3" t="str">
            <v xml:space="preserve">     РЕЖИМ</v>
          </cell>
        </row>
        <row r="4">
          <cell r="B4" t="str">
            <v>Qж</v>
          </cell>
          <cell r="C4" t="str">
            <v>%</v>
          </cell>
          <cell r="D4" t="str">
            <v>Qн</v>
          </cell>
        </row>
        <row r="5">
          <cell r="A5">
            <v>7042</v>
          </cell>
          <cell r="B5">
            <v>60</v>
          </cell>
          <cell r="C5">
            <v>90</v>
          </cell>
          <cell r="D5">
            <v>5.0339999999999998</v>
          </cell>
        </row>
        <row r="6">
          <cell r="A6">
            <v>6621</v>
          </cell>
          <cell r="B6">
            <v>50</v>
          </cell>
          <cell r="C6">
            <v>90</v>
          </cell>
          <cell r="D6">
            <v>4.1950000000000003</v>
          </cell>
        </row>
        <row r="7">
          <cell r="A7">
            <v>1986</v>
          </cell>
          <cell r="B7">
            <v>70</v>
          </cell>
          <cell r="C7">
            <v>90</v>
          </cell>
          <cell r="D7">
            <v>5.8729999999999993</v>
          </cell>
        </row>
        <row r="8">
          <cell r="A8">
            <v>5923</v>
          </cell>
          <cell r="B8">
            <v>45</v>
          </cell>
          <cell r="C8">
            <v>92</v>
          </cell>
          <cell r="D8">
            <v>3.0203999999999995</v>
          </cell>
        </row>
        <row r="9">
          <cell r="A9">
            <v>4771</v>
          </cell>
          <cell r="B9">
            <v>60</v>
          </cell>
          <cell r="C9">
            <v>92</v>
          </cell>
          <cell r="D9">
            <v>4.0271999999999997</v>
          </cell>
        </row>
        <row r="10">
          <cell r="A10">
            <v>6820</v>
          </cell>
          <cell r="B10">
            <v>50</v>
          </cell>
          <cell r="C10">
            <v>90</v>
          </cell>
          <cell r="D10">
            <v>4.1950000000000003</v>
          </cell>
        </row>
        <row r="11">
          <cell r="A11">
            <v>3456</v>
          </cell>
          <cell r="B11">
            <v>45</v>
          </cell>
          <cell r="C11">
            <v>40</v>
          </cell>
          <cell r="D11">
            <v>22.652999999999999</v>
          </cell>
        </row>
        <row r="12">
          <cell r="A12">
            <v>6</v>
          </cell>
          <cell r="B12">
            <v>60</v>
          </cell>
          <cell r="C12">
            <v>80</v>
          </cell>
          <cell r="D12">
            <v>10.068</v>
          </cell>
        </row>
        <row r="13">
          <cell r="A13">
            <v>3453</v>
          </cell>
          <cell r="B13">
            <v>10</v>
          </cell>
          <cell r="C13">
            <v>50</v>
          </cell>
          <cell r="D13">
            <v>4.1950000000000003</v>
          </cell>
        </row>
        <row r="14">
          <cell r="A14">
            <v>3478</v>
          </cell>
          <cell r="B14">
            <v>30</v>
          </cell>
          <cell r="C14">
            <v>90</v>
          </cell>
          <cell r="D14">
            <v>2.5169999999999999</v>
          </cell>
        </row>
        <row r="15">
          <cell r="A15">
            <v>2097</v>
          </cell>
          <cell r="B15">
            <v>75</v>
          </cell>
          <cell r="C15">
            <v>90</v>
          </cell>
          <cell r="D15">
            <v>6.2925000000000004</v>
          </cell>
        </row>
        <row r="16">
          <cell r="A16">
            <v>6614</v>
          </cell>
          <cell r="B16">
            <v>30</v>
          </cell>
          <cell r="C16">
            <v>50</v>
          </cell>
          <cell r="D16">
            <v>12.585000000000001</v>
          </cell>
        </row>
        <row r="17">
          <cell r="A17">
            <v>3455</v>
          </cell>
          <cell r="B17">
            <v>30</v>
          </cell>
          <cell r="C17">
            <v>85</v>
          </cell>
          <cell r="D17">
            <v>3.7755000000000001</v>
          </cell>
        </row>
        <row r="18">
          <cell r="A18">
            <v>7399</v>
          </cell>
          <cell r="B18">
            <v>25</v>
          </cell>
          <cell r="C18">
            <v>90</v>
          </cell>
          <cell r="D18">
            <v>2.0975000000000001</v>
          </cell>
        </row>
        <row r="19">
          <cell r="A19">
            <v>6619</v>
          </cell>
          <cell r="B19">
            <v>50</v>
          </cell>
          <cell r="C19">
            <v>90</v>
          </cell>
          <cell r="D19">
            <v>4.1950000000000003</v>
          </cell>
        </row>
        <row r="20">
          <cell r="B20">
            <v>690</v>
          </cell>
          <cell r="D20">
            <v>94.723099999999988</v>
          </cell>
        </row>
        <row r="21">
          <cell r="A21">
            <v>7809</v>
          </cell>
          <cell r="B21">
            <v>25</v>
          </cell>
          <cell r="C21">
            <v>50</v>
          </cell>
          <cell r="D21">
            <v>10.487500000000001</v>
          </cell>
        </row>
        <row r="22">
          <cell r="A22">
            <v>5659</v>
          </cell>
          <cell r="B22">
            <v>60</v>
          </cell>
          <cell r="C22">
            <v>90</v>
          </cell>
          <cell r="D22">
            <v>5.0339999999999998</v>
          </cell>
        </row>
        <row r="23">
          <cell r="A23">
            <v>1716</v>
          </cell>
          <cell r="B23">
            <v>20</v>
          </cell>
          <cell r="C23">
            <v>75</v>
          </cell>
          <cell r="D23">
            <v>4.1950000000000003</v>
          </cell>
        </row>
        <row r="24">
          <cell r="A24">
            <v>3176</v>
          </cell>
          <cell r="B24">
            <v>110</v>
          </cell>
          <cell r="C24">
            <v>92</v>
          </cell>
          <cell r="D24">
            <v>7.3831999999999995</v>
          </cell>
        </row>
        <row r="25">
          <cell r="A25">
            <v>7807</v>
          </cell>
          <cell r="B25">
            <v>20</v>
          </cell>
          <cell r="C25">
            <v>60</v>
          </cell>
          <cell r="D25">
            <v>6.7119999999999997</v>
          </cell>
        </row>
        <row r="26">
          <cell r="B26">
            <v>235</v>
          </cell>
          <cell r="D26">
            <v>33.811700000000002</v>
          </cell>
        </row>
        <row r="27">
          <cell r="A27">
            <v>5864</v>
          </cell>
          <cell r="B27">
            <v>45</v>
          </cell>
          <cell r="C27">
            <v>80</v>
          </cell>
          <cell r="D27">
            <v>7.5510000000000002</v>
          </cell>
        </row>
        <row r="28">
          <cell r="A28">
            <v>5771</v>
          </cell>
          <cell r="B28">
            <v>10</v>
          </cell>
          <cell r="C28">
            <v>60</v>
          </cell>
          <cell r="D28">
            <v>3.3559999999999999</v>
          </cell>
        </row>
        <row r="29">
          <cell r="A29">
            <v>3139</v>
          </cell>
          <cell r="B29">
            <v>85</v>
          </cell>
          <cell r="C29">
            <v>90</v>
          </cell>
          <cell r="D29">
            <v>7.1315</v>
          </cell>
        </row>
        <row r="30">
          <cell r="A30">
            <v>7808</v>
          </cell>
          <cell r="B30">
            <v>10</v>
          </cell>
          <cell r="C30">
            <v>60</v>
          </cell>
          <cell r="D30">
            <v>3.3559999999999999</v>
          </cell>
        </row>
        <row r="31">
          <cell r="A31">
            <v>488</v>
          </cell>
          <cell r="B31">
            <v>20</v>
          </cell>
          <cell r="C31">
            <v>90</v>
          </cell>
          <cell r="D31">
            <v>1.6779999999999999</v>
          </cell>
        </row>
        <row r="32">
          <cell r="A32">
            <v>3454</v>
          </cell>
          <cell r="B32">
            <v>20</v>
          </cell>
          <cell r="C32">
            <v>70</v>
          </cell>
          <cell r="D32">
            <v>5.0339999999999998</v>
          </cell>
        </row>
        <row r="33">
          <cell r="A33">
            <v>8620</v>
          </cell>
          <cell r="B33">
            <v>10</v>
          </cell>
          <cell r="C33">
            <v>40</v>
          </cell>
          <cell r="D33">
            <v>5.0339999999999998</v>
          </cell>
        </row>
        <row r="34">
          <cell r="A34">
            <v>1717</v>
          </cell>
          <cell r="B34">
            <v>100</v>
          </cell>
          <cell r="C34">
            <v>90</v>
          </cell>
          <cell r="D34">
            <v>8.39</v>
          </cell>
        </row>
        <row r="35">
          <cell r="A35">
            <v>5772</v>
          </cell>
          <cell r="B35">
            <v>15</v>
          </cell>
          <cell r="C35">
            <v>80</v>
          </cell>
          <cell r="D35">
            <v>2.5169999999999999</v>
          </cell>
        </row>
        <row r="36">
          <cell r="A36">
            <v>2486</v>
          </cell>
          <cell r="B36">
            <v>30</v>
          </cell>
          <cell r="C36">
            <v>80</v>
          </cell>
          <cell r="D36">
            <v>5.0339999999999998</v>
          </cell>
        </row>
        <row r="37">
          <cell r="A37">
            <v>5591</v>
          </cell>
          <cell r="B37">
            <v>25</v>
          </cell>
          <cell r="C37">
            <v>85</v>
          </cell>
          <cell r="D37">
            <v>3.1462500000000002</v>
          </cell>
        </row>
        <row r="38">
          <cell r="A38">
            <v>5707</v>
          </cell>
          <cell r="B38">
            <v>20</v>
          </cell>
          <cell r="C38">
            <v>70</v>
          </cell>
          <cell r="D38">
            <v>5.0339999999999998</v>
          </cell>
        </row>
        <row r="39">
          <cell r="B39">
            <v>390</v>
          </cell>
          <cell r="D39">
            <v>57.261750000000006</v>
          </cell>
        </row>
        <row r="40">
          <cell r="A40">
            <v>2542</v>
          </cell>
          <cell r="B40">
            <v>30</v>
          </cell>
          <cell r="C40">
            <v>85</v>
          </cell>
          <cell r="D40">
            <v>3.7755000000000001</v>
          </cell>
        </row>
        <row r="41">
          <cell r="A41">
            <v>487</v>
          </cell>
          <cell r="B41">
            <v>55</v>
          </cell>
          <cell r="C41">
            <v>90</v>
          </cell>
          <cell r="D41">
            <v>4.6144999999999996</v>
          </cell>
        </row>
        <row r="42">
          <cell r="A42">
            <v>2919</v>
          </cell>
          <cell r="B42">
            <v>80</v>
          </cell>
          <cell r="C42">
            <v>90</v>
          </cell>
          <cell r="D42">
            <v>6.7119999999999997</v>
          </cell>
        </row>
        <row r="43">
          <cell r="A43">
            <v>5597</v>
          </cell>
          <cell r="B43">
            <v>30</v>
          </cell>
          <cell r="C43">
            <v>90</v>
          </cell>
          <cell r="D43">
            <v>2.5169999999999999</v>
          </cell>
        </row>
        <row r="44">
          <cell r="A44">
            <v>5701</v>
          </cell>
          <cell r="B44">
            <v>70</v>
          </cell>
          <cell r="C44">
            <v>92</v>
          </cell>
          <cell r="D44">
            <v>4.6983999999999995</v>
          </cell>
        </row>
        <row r="45">
          <cell r="A45">
            <v>5664</v>
          </cell>
          <cell r="B45">
            <v>5</v>
          </cell>
          <cell r="C45">
            <v>40</v>
          </cell>
          <cell r="D45">
            <v>2.5169999999999999</v>
          </cell>
        </row>
        <row r="46">
          <cell r="A46">
            <v>1722</v>
          </cell>
          <cell r="B46">
            <v>30</v>
          </cell>
          <cell r="C46">
            <v>90</v>
          </cell>
          <cell r="D46">
            <v>2.5169999999999999</v>
          </cell>
        </row>
        <row r="47">
          <cell r="A47">
            <v>7921</v>
          </cell>
          <cell r="B47">
            <v>70</v>
          </cell>
          <cell r="C47">
            <v>80</v>
          </cell>
          <cell r="D47">
            <v>11.745999999999999</v>
          </cell>
        </row>
        <row r="48">
          <cell r="A48">
            <v>1167</v>
          </cell>
          <cell r="B48">
            <v>75</v>
          </cell>
          <cell r="C48">
            <v>90</v>
          </cell>
          <cell r="D48">
            <v>6.2925000000000004</v>
          </cell>
        </row>
        <row r="49">
          <cell r="A49">
            <v>1594</v>
          </cell>
          <cell r="B49">
            <v>70</v>
          </cell>
          <cell r="C49">
            <v>80</v>
          </cell>
          <cell r="D49">
            <v>11.745999999999999</v>
          </cell>
        </row>
        <row r="50">
          <cell r="A50">
            <v>1981</v>
          </cell>
          <cell r="B50">
            <v>40</v>
          </cell>
          <cell r="C50">
            <v>90</v>
          </cell>
          <cell r="D50">
            <v>3.3559999999999999</v>
          </cell>
        </row>
        <row r="51">
          <cell r="A51">
            <v>5459</v>
          </cell>
          <cell r="B51">
            <v>50</v>
          </cell>
          <cell r="C51">
            <v>90</v>
          </cell>
          <cell r="D51">
            <v>4.1950000000000003</v>
          </cell>
        </row>
        <row r="52">
          <cell r="A52">
            <v>3457</v>
          </cell>
          <cell r="B52">
            <v>25</v>
          </cell>
          <cell r="C52">
            <v>70</v>
          </cell>
          <cell r="D52">
            <v>6.2925000000000004</v>
          </cell>
        </row>
        <row r="53">
          <cell r="A53">
            <v>511</v>
          </cell>
          <cell r="B53">
            <v>50</v>
          </cell>
          <cell r="C53">
            <v>85</v>
          </cell>
          <cell r="D53">
            <v>6.2925000000000004</v>
          </cell>
        </row>
        <row r="54">
          <cell r="B54">
            <v>680</v>
          </cell>
          <cell r="D54">
            <v>77.271900000000002</v>
          </cell>
        </row>
        <row r="55">
          <cell r="A55">
            <v>3133</v>
          </cell>
          <cell r="B55">
            <v>60</v>
          </cell>
          <cell r="C55">
            <v>90</v>
          </cell>
          <cell r="D55">
            <v>5.0339999999999998</v>
          </cell>
        </row>
        <row r="56">
          <cell r="A56">
            <v>5704</v>
          </cell>
          <cell r="B56">
            <v>70</v>
          </cell>
          <cell r="C56">
            <v>92</v>
          </cell>
          <cell r="D56">
            <v>4.6983999999999995</v>
          </cell>
        </row>
        <row r="57">
          <cell r="A57">
            <v>8602</v>
          </cell>
          <cell r="B57">
            <v>105</v>
          </cell>
          <cell r="C57">
            <v>93</v>
          </cell>
          <cell r="D57">
            <v>6.1666499999999997</v>
          </cell>
        </row>
        <row r="58">
          <cell r="A58">
            <v>4768</v>
          </cell>
          <cell r="B58">
            <v>55</v>
          </cell>
          <cell r="C58">
            <v>45</v>
          </cell>
          <cell r="D58">
            <v>25.379749999999998</v>
          </cell>
        </row>
        <row r="59">
          <cell r="A59">
            <v>5706</v>
          </cell>
          <cell r="B59">
            <v>70</v>
          </cell>
          <cell r="C59">
            <v>90</v>
          </cell>
          <cell r="D59">
            <v>5.8729999999999993</v>
          </cell>
        </row>
        <row r="60">
          <cell r="A60">
            <v>1984</v>
          </cell>
          <cell r="B60">
            <v>10</v>
          </cell>
          <cell r="C60">
            <v>40</v>
          </cell>
          <cell r="D60">
            <v>5.0339999999999998</v>
          </cell>
        </row>
        <row r="61">
          <cell r="A61">
            <v>6622</v>
          </cell>
          <cell r="B61">
            <v>30</v>
          </cell>
          <cell r="C61">
            <v>85</v>
          </cell>
          <cell r="D61">
            <v>3.7755000000000001</v>
          </cell>
        </row>
        <row r="62">
          <cell r="B62">
            <v>400</v>
          </cell>
          <cell r="D62">
            <v>55.961299999999994</v>
          </cell>
        </row>
        <row r="63">
          <cell r="A63">
            <v>5037</v>
          </cell>
          <cell r="B63">
            <v>25</v>
          </cell>
          <cell r="C63">
            <v>50</v>
          </cell>
          <cell r="D63">
            <v>10.487500000000001</v>
          </cell>
        </row>
        <row r="64">
          <cell r="A64">
            <v>5287</v>
          </cell>
          <cell r="B64">
            <v>60</v>
          </cell>
          <cell r="C64">
            <v>92</v>
          </cell>
          <cell r="D64">
            <v>4.0271999999999997</v>
          </cell>
        </row>
        <row r="65">
          <cell r="A65">
            <v>6434</v>
          </cell>
          <cell r="B65">
            <v>30</v>
          </cell>
          <cell r="C65">
            <v>90</v>
          </cell>
          <cell r="D65">
            <v>2.5169999999999999</v>
          </cell>
        </row>
        <row r="66">
          <cell r="A66">
            <v>2541</v>
          </cell>
          <cell r="B66">
            <v>70</v>
          </cell>
          <cell r="C66">
            <v>92</v>
          </cell>
          <cell r="D66">
            <v>4.6983999999999995</v>
          </cell>
        </row>
        <row r="67">
          <cell r="A67">
            <v>5702</v>
          </cell>
          <cell r="B67">
            <v>20</v>
          </cell>
          <cell r="C67">
            <v>85</v>
          </cell>
          <cell r="D67">
            <v>2.5169999999999999</v>
          </cell>
        </row>
        <row r="68">
          <cell r="A68">
            <v>5593</v>
          </cell>
          <cell r="B68">
            <v>10</v>
          </cell>
          <cell r="C68">
            <v>80</v>
          </cell>
          <cell r="D68">
            <v>1.6779999999999999</v>
          </cell>
        </row>
        <row r="69">
          <cell r="B69">
            <v>215</v>
          </cell>
          <cell r="D69">
            <v>25.9251</v>
          </cell>
        </row>
        <row r="70">
          <cell r="A70">
            <v>2071</v>
          </cell>
          <cell r="B70">
            <v>20</v>
          </cell>
          <cell r="C70">
            <v>40</v>
          </cell>
          <cell r="D70">
            <v>10.068</v>
          </cell>
        </row>
        <row r="71">
          <cell r="A71">
            <v>8601</v>
          </cell>
          <cell r="B71">
            <v>55</v>
          </cell>
          <cell r="C71">
            <v>85</v>
          </cell>
          <cell r="D71">
            <v>6.9217499999999994</v>
          </cell>
        </row>
        <row r="72">
          <cell r="A72">
            <v>2539</v>
          </cell>
          <cell r="B72">
            <v>40</v>
          </cell>
          <cell r="C72">
            <v>92</v>
          </cell>
          <cell r="D72">
            <v>2.6848000000000001</v>
          </cell>
        </row>
        <row r="73">
          <cell r="A73">
            <v>4229</v>
          </cell>
          <cell r="B73">
            <v>50</v>
          </cell>
          <cell r="C73">
            <v>80</v>
          </cell>
          <cell r="D73">
            <v>8.39</v>
          </cell>
        </row>
        <row r="74">
          <cell r="A74">
            <v>1982</v>
          </cell>
          <cell r="B74">
            <v>25</v>
          </cell>
          <cell r="C74">
            <v>80</v>
          </cell>
          <cell r="D74">
            <v>4.1950000000000003</v>
          </cell>
        </row>
        <row r="75">
          <cell r="A75">
            <v>6753</v>
          </cell>
          <cell r="B75">
            <v>45</v>
          </cell>
          <cell r="C75">
            <v>45</v>
          </cell>
          <cell r="D75">
            <v>20.765250000000002</v>
          </cell>
        </row>
        <row r="76">
          <cell r="A76">
            <v>1719</v>
          </cell>
          <cell r="B76">
            <v>30</v>
          </cell>
          <cell r="C76">
            <v>80</v>
          </cell>
          <cell r="D76">
            <v>5.0339999999999998</v>
          </cell>
        </row>
        <row r="77">
          <cell r="A77">
            <v>2102</v>
          </cell>
          <cell r="B77">
            <v>30</v>
          </cell>
          <cell r="C77">
            <v>40</v>
          </cell>
          <cell r="D77">
            <v>15.102</v>
          </cell>
        </row>
        <row r="78">
          <cell r="A78">
            <v>7442</v>
          </cell>
          <cell r="B78">
            <v>60</v>
          </cell>
          <cell r="C78">
            <v>90</v>
          </cell>
          <cell r="D78">
            <v>5.0339999999999998</v>
          </cell>
        </row>
        <row r="79">
          <cell r="A79">
            <v>7443</v>
          </cell>
          <cell r="B79">
            <v>25</v>
          </cell>
          <cell r="C79">
            <v>40</v>
          </cell>
          <cell r="D79">
            <v>12.585000000000001</v>
          </cell>
        </row>
        <row r="80">
          <cell r="A80">
            <v>1137</v>
          </cell>
          <cell r="B80">
            <v>60</v>
          </cell>
          <cell r="C80">
            <v>90</v>
          </cell>
          <cell r="D80">
            <v>5.0339999999999998</v>
          </cell>
        </row>
        <row r="81">
          <cell r="B81">
            <v>440</v>
          </cell>
          <cell r="D81">
            <v>95.813800000000029</v>
          </cell>
        </row>
        <row r="82">
          <cell r="A82">
            <v>2096</v>
          </cell>
          <cell r="B82">
            <v>100</v>
          </cell>
          <cell r="C82">
            <v>93</v>
          </cell>
          <cell r="D82">
            <v>5.8729999999999993</v>
          </cell>
        </row>
        <row r="83">
          <cell r="A83">
            <v>4096</v>
          </cell>
          <cell r="B83">
            <v>45</v>
          </cell>
          <cell r="C83">
            <v>93</v>
          </cell>
          <cell r="D83">
            <v>2.6428499999999997</v>
          </cell>
        </row>
        <row r="84">
          <cell r="A84">
            <v>507</v>
          </cell>
          <cell r="B84">
            <v>50</v>
          </cell>
          <cell r="C84">
            <v>90</v>
          </cell>
          <cell r="D84">
            <v>4.1950000000000003</v>
          </cell>
        </row>
        <row r="85">
          <cell r="A85">
            <v>3485</v>
          </cell>
          <cell r="B85">
            <v>45</v>
          </cell>
          <cell r="C85">
            <v>90</v>
          </cell>
          <cell r="D85">
            <v>3.7755000000000001</v>
          </cell>
        </row>
        <row r="86">
          <cell r="A86">
            <v>3178</v>
          </cell>
          <cell r="B86">
            <v>45</v>
          </cell>
          <cell r="C86">
            <v>85</v>
          </cell>
          <cell r="D86">
            <v>5.6632499999999997</v>
          </cell>
        </row>
        <row r="87">
          <cell r="A87">
            <v>2929</v>
          </cell>
          <cell r="B87">
            <v>20</v>
          </cell>
          <cell r="C87">
            <v>40</v>
          </cell>
          <cell r="D87">
            <v>10.068</v>
          </cell>
        </row>
        <row r="88">
          <cell r="A88">
            <v>1164</v>
          </cell>
          <cell r="B88">
            <v>70</v>
          </cell>
          <cell r="C88">
            <v>93</v>
          </cell>
          <cell r="D88">
            <v>4.1110999999999995</v>
          </cell>
        </row>
        <row r="89">
          <cell r="A89">
            <v>2093</v>
          </cell>
          <cell r="B89">
            <v>20</v>
          </cell>
          <cell r="C89">
            <v>40</v>
          </cell>
          <cell r="D89">
            <v>10.068</v>
          </cell>
        </row>
        <row r="90">
          <cell r="A90">
            <v>6616</v>
          </cell>
          <cell r="B90">
            <v>110</v>
          </cell>
          <cell r="C90">
            <v>55</v>
          </cell>
          <cell r="D90">
            <v>41.530500000000004</v>
          </cell>
        </row>
        <row r="91">
          <cell r="A91">
            <v>3477</v>
          </cell>
          <cell r="B91">
            <v>130</v>
          </cell>
          <cell r="C91">
            <v>90</v>
          </cell>
          <cell r="D91">
            <v>10.907</v>
          </cell>
        </row>
        <row r="92">
          <cell r="A92">
            <v>6024</v>
          </cell>
          <cell r="B92">
            <v>100</v>
          </cell>
          <cell r="C92">
            <v>93</v>
          </cell>
          <cell r="D92">
            <v>5.8729999999999993</v>
          </cell>
        </row>
        <row r="93">
          <cell r="A93">
            <v>7923</v>
          </cell>
          <cell r="B93">
            <v>60</v>
          </cell>
          <cell r="C93">
            <v>80</v>
          </cell>
          <cell r="D93">
            <v>10.068</v>
          </cell>
        </row>
        <row r="94">
          <cell r="A94">
            <v>7936</v>
          </cell>
          <cell r="B94">
            <v>40</v>
          </cell>
          <cell r="C94">
            <v>70</v>
          </cell>
          <cell r="D94">
            <v>10.068</v>
          </cell>
        </row>
        <row r="95">
          <cell r="B95">
            <v>835</v>
          </cell>
          <cell r="D95">
            <v>124.8432</v>
          </cell>
        </row>
        <row r="96">
          <cell r="A96">
            <v>1143</v>
          </cell>
          <cell r="B96">
            <v>50</v>
          </cell>
          <cell r="C96">
            <v>90</v>
          </cell>
          <cell r="D96">
            <v>4.1950000000000003</v>
          </cell>
        </row>
        <row r="97">
          <cell r="A97">
            <v>4858</v>
          </cell>
          <cell r="B97">
            <v>85</v>
          </cell>
          <cell r="C97">
            <v>93</v>
          </cell>
          <cell r="D97">
            <v>4.9920499999999999</v>
          </cell>
        </row>
        <row r="98">
          <cell r="A98">
            <v>5838</v>
          </cell>
          <cell r="B98">
            <v>100</v>
          </cell>
          <cell r="C98">
            <v>93</v>
          </cell>
          <cell r="D98">
            <v>5.8729999999999993</v>
          </cell>
        </row>
        <row r="99">
          <cell r="A99">
            <v>2075</v>
          </cell>
          <cell r="B99">
            <v>130</v>
          </cell>
          <cell r="C99">
            <v>93</v>
          </cell>
          <cell r="D99">
            <v>7.6349</v>
          </cell>
        </row>
        <row r="100">
          <cell r="A100">
            <v>333</v>
          </cell>
          <cell r="B100">
            <v>80</v>
          </cell>
          <cell r="C100">
            <v>93</v>
          </cell>
          <cell r="D100">
            <v>4.6983999999999995</v>
          </cell>
        </row>
        <row r="101">
          <cell r="A101">
            <v>231</v>
          </cell>
          <cell r="B101">
            <v>30</v>
          </cell>
          <cell r="C101">
            <v>90</v>
          </cell>
          <cell r="D101">
            <v>2.5169999999999999</v>
          </cell>
        </row>
        <row r="102">
          <cell r="A102">
            <v>7781</v>
          </cell>
          <cell r="B102">
            <v>50</v>
          </cell>
          <cell r="C102">
            <v>70</v>
          </cell>
          <cell r="D102">
            <v>12.585000000000001</v>
          </cell>
        </row>
        <row r="103">
          <cell r="A103">
            <v>491</v>
          </cell>
          <cell r="B103">
            <v>40</v>
          </cell>
          <cell r="C103">
            <v>50</v>
          </cell>
          <cell r="D103">
            <v>16.78</v>
          </cell>
        </row>
        <row r="104">
          <cell r="A104">
            <v>3143</v>
          </cell>
          <cell r="B104">
            <v>50</v>
          </cell>
          <cell r="C104">
            <v>90</v>
          </cell>
          <cell r="D104">
            <v>4.1950000000000003</v>
          </cell>
        </row>
        <row r="105">
          <cell r="B105">
            <v>615</v>
          </cell>
          <cell r="D105">
            <v>63.470350000000003</v>
          </cell>
        </row>
        <row r="106">
          <cell r="A106">
            <v>336</v>
          </cell>
          <cell r="B106">
            <v>70</v>
          </cell>
          <cell r="C106">
            <v>90</v>
          </cell>
          <cell r="D106">
            <v>5.8729999999999993</v>
          </cell>
        </row>
        <row r="107">
          <cell r="A107">
            <v>3138</v>
          </cell>
          <cell r="B107">
            <v>50</v>
          </cell>
          <cell r="C107">
            <v>85</v>
          </cell>
          <cell r="D107">
            <v>6.2925000000000004</v>
          </cell>
        </row>
        <row r="108">
          <cell r="A108">
            <v>3181</v>
          </cell>
          <cell r="B108">
            <v>100</v>
          </cell>
          <cell r="C108">
            <v>50</v>
          </cell>
          <cell r="D108">
            <v>41.95</v>
          </cell>
        </row>
        <row r="109">
          <cell r="A109">
            <v>1714</v>
          </cell>
          <cell r="B109">
            <v>130</v>
          </cell>
          <cell r="C109">
            <v>92</v>
          </cell>
          <cell r="D109">
            <v>8.7256</v>
          </cell>
        </row>
        <row r="110">
          <cell r="A110">
            <v>2489</v>
          </cell>
          <cell r="B110">
            <v>15</v>
          </cell>
          <cell r="C110">
            <v>40</v>
          </cell>
          <cell r="D110">
            <v>7.5510000000000002</v>
          </cell>
        </row>
        <row r="111">
          <cell r="A111">
            <v>7803</v>
          </cell>
          <cell r="B111">
            <v>30</v>
          </cell>
          <cell r="C111">
            <v>90</v>
          </cell>
          <cell r="D111">
            <v>2.5169999999999999</v>
          </cell>
        </row>
        <row r="112">
          <cell r="A112">
            <v>6023</v>
          </cell>
          <cell r="B112">
            <v>110</v>
          </cell>
          <cell r="C112">
            <v>90</v>
          </cell>
          <cell r="D112">
            <v>9.2289999999999992</v>
          </cell>
        </row>
        <row r="113">
          <cell r="A113">
            <v>8610</v>
          </cell>
          <cell r="B113">
            <v>80</v>
          </cell>
          <cell r="C113">
            <v>90</v>
          </cell>
          <cell r="D113">
            <v>6.7119999999999997</v>
          </cell>
        </row>
        <row r="114">
          <cell r="A114">
            <v>2488</v>
          </cell>
          <cell r="B114">
            <v>60</v>
          </cell>
          <cell r="C114">
            <v>90</v>
          </cell>
          <cell r="D114">
            <v>5.0339999999999998</v>
          </cell>
        </row>
        <row r="115">
          <cell r="A115">
            <v>4082</v>
          </cell>
          <cell r="B115">
            <v>50</v>
          </cell>
          <cell r="C115">
            <v>75</v>
          </cell>
          <cell r="D115">
            <v>10.487500000000001</v>
          </cell>
        </row>
        <row r="116">
          <cell r="A116">
            <v>3472</v>
          </cell>
          <cell r="B116">
            <v>60</v>
          </cell>
          <cell r="C116">
            <v>40</v>
          </cell>
          <cell r="D116">
            <v>30.204000000000001</v>
          </cell>
        </row>
        <row r="117">
          <cell r="B117">
            <v>755</v>
          </cell>
          <cell r="D117">
            <v>134.57560000000001</v>
          </cell>
        </row>
        <row r="118">
          <cell r="A118">
            <v>7806</v>
          </cell>
          <cell r="B118">
            <v>90</v>
          </cell>
          <cell r="C118">
            <v>90</v>
          </cell>
          <cell r="D118">
            <v>7.5510000000000002</v>
          </cell>
        </row>
        <row r="119">
          <cell r="A119">
            <v>6623</v>
          </cell>
          <cell r="B119">
            <v>15</v>
          </cell>
          <cell r="C119">
            <v>85</v>
          </cell>
          <cell r="D119">
            <v>1.88775</v>
          </cell>
        </row>
        <row r="120">
          <cell r="A120">
            <v>3474</v>
          </cell>
          <cell r="B120">
            <v>80</v>
          </cell>
          <cell r="C120">
            <v>90</v>
          </cell>
          <cell r="D120">
            <v>6.7119999999999997</v>
          </cell>
        </row>
        <row r="121">
          <cell r="A121">
            <v>484</v>
          </cell>
          <cell r="B121">
            <v>15</v>
          </cell>
          <cell r="C121">
            <v>90</v>
          </cell>
          <cell r="D121">
            <v>1.2585</v>
          </cell>
        </row>
        <row r="122">
          <cell r="A122">
            <v>2076</v>
          </cell>
          <cell r="B122">
            <v>10</v>
          </cell>
          <cell r="C122">
            <v>40</v>
          </cell>
          <cell r="D122">
            <v>5.0339999999999998</v>
          </cell>
        </row>
        <row r="123">
          <cell r="A123">
            <v>3141</v>
          </cell>
          <cell r="B123">
            <v>40</v>
          </cell>
          <cell r="C123">
            <v>90</v>
          </cell>
          <cell r="D123">
            <v>3.3559999999999999</v>
          </cell>
        </row>
        <row r="124">
          <cell r="A124">
            <v>5922</v>
          </cell>
          <cell r="B124">
            <v>85</v>
          </cell>
          <cell r="C124">
            <v>80</v>
          </cell>
          <cell r="D124">
            <v>14.263</v>
          </cell>
        </row>
        <row r="125">
          <cell r="A125">
            <v>3476</v>
          </cell>
          <cell r="B125">
            <v>60</v>
          </cell>
          <cell r="C125">
            <v>90</v>
          </cell>
          <cell r="D125">
            <v>5.0339999999999998</v>
          </cell>
        </row>
        <row r="126">
          <cell r="A126">
            <v>6628</v>
          </cell>
          <cell r="B126">
            <v>15</v>
          </cell>
          <cell r="C126">
            <v>85</v>
          </cell>
          <cell r="D126">
            <v>1.88775</v>
          </cell>
        </row>
        <row r="127">
          <cell r="A127">
            <v>2074</v>
          </cell>
          <cell r="B127">
            <v>10</v>
          </cell>
          <cell r="C127">
            <v>40</v>
          </cell>
          <cell r="D127">
            <v>5.0339999999999998</v>
          </cell>
        </row>
        <row r="128">
          <cell r="A128">
            <v>486</v>
          </cell>
          <cell r="B128">
            <v>15</v>
          </cell>
          <cell r="C128">
            <v>70</v>
          </cell>
          <cell r="D128">
            <v>3.7755000000000001</v>
          </cell>
        </row>
        <row r="129">
          <cell r="B129">
            <v>435</v>
          </cell>
          <cell r="D129">
            <v>55.793499999999995</v>
          </cell>
        </row>
        <row r="130">
          <cell r="A130">
            <v>7938</v>
          </cell>
          <cell r="B130">
            <v>55</v>
          </cell>
          <cell r="C130">
            <v>50</v>
          </cell>
          <cell r="D130">
            <v>23.072500000000002</v>
          </cell>
        </row>
        <row r="131">
          <cell r="A131">
            <v>4093</v>
          </cell>
          <cell r="B131">
            <v>70</v>
          </cell>
          <cell r="C131">
            <v>93</v>
          </cell>
          <cell r="D131">
            <v>4.1110999999999995</v>
          </cell>
        </row>
        <row r="132">
          <cell r="A132">
            <v>7603</v>
          </cell>
          <cell r="B132">
            <v>60</v>
          </cell>
          <cell r="C132">
            <v>93</v>
          </cell>
          <cell r="D132">
            <v>3.5238</v>
          </cell>
        </row>
        <row r="133">
          <cell r="A133">
            <v>1162</v>
          </cell>
          <cell r="B133">
            <v>90</v>
          </cell>
          <cell r="C133">
            <v>85</v>
          </cell>
          <cell r="D133">
            <v>11.326499999999999</v>
          </cell>
        </row>
        <row r="134">
          <cell r="A134">
            <v>4436</v>
          </cell>
          <cell r="B134">
            <v>30</v>
          </cell>
          <cell r="C134">
            <v>80</v>
          </cell>
          <cell r="D134">
            <v>5.0339999999999998</v>
          </cell>
        </row>
        <row r="135">
          <cell r="A135">
            <v>4337</v>
          </cell>
          <cell r="B135">
            <v>90</v>
          </cell>
          <cell r="C135">
            <v>90</v>
          </cell>
          <cell r="D135">
            <v>7.5510000000000002</v>
          </cell>
        </row>
        <row r="136">
          <cell r="A136">
            <v>7594</v>
          </cell>
          <cell r="B136">
            <v>25</v>
          </cell>
          <cell r="C136">
            <v>50</v>
          </cell>
          <cell r="D136">
            <v>10.487500000000001</v>
          </cell>
        </row>
        <row r="137">
          <cell r="A137">
            <v>4382</v>
          </cell>
          <cell r="B137">
            <v>100</v>
          </cell>
          <cell r="C137">
            <v>92</v>
          </cell>
          <cell r="D137">
            <v>6.7119999999999997</v>
          </cell>
        </row>
        <row r="138">
          <cell r="A138">
            <v>4083</v>
          </cell>
          <cell r="B138">
            <v>45</v>
          </cell>
          <cell r="C138">
            <v>45</v>
          </cell>
          <cell r="D138">
            <v>20.765250000000002</v>
          </cell>
        </row>
        <row r="139">
          <cell r="A139">
            <v>6078</v>
          </cell>
          <cell r="B139">
            <v>60</v>
          </cell>
          <cell r="C139">
            <v>40</v>
          </cell>
          <cell r="D139">
            <v>30.204000000000001</v>
          </cell>
        </row>
        <row r="140">
          <cell r="B140">
            <v>625</v>
          </cell>
          <cell r="D140">
            <v>122.78765000000001</v>
          </cell>
        </row>
        <row r="141">
          <cell r="A141">
            <v>4383</v>
          </cell>
          <cell r="B141">
            <v>35</v>
          </cell>
          <cell r="C141">
            <v>85</v>
          </cell>
          <cell r="D141">
            <v>4.4047499999999999</v>
          </cell>
        </row>
        <row r="142">
          <cell r="A142">
            <v>4069</v>
          </cell>
          <cell r="B142">
            <v>15</v>
          </cell>
          <cell r="C142">
            <v>45</v>
          </cell>
          <cell r="D142">
            <v>6.9217499999999994</v>
          </cell>
        </row>
        <row r="143">
          <cell r="A143">
            <v>3147</v>
          </cell>
          <cell r="B143">
            <v>35</v>
          </cell>
          <cell r="C143">
            <v>50</v>
          </cell>
          <cell r="D143">
            <v>14.682499999999999</v>
          </cell>
        </row>
        <row r="144">
          <cell r="A144">
            <v>3166</v>
          </cell>
          <cell r="B144">
            <v>20</v>
          </cell>
          <cell r="C144">
            <v>90</v>
          </cell>
          <cell r="D144">
            <v>1.6779999999999999</v>
          </cell>
        </row>
        <row r="145">
          <cell r="A145">
            <v>3148</v>
          </cell>
          <cell r="B145">
            <v>110</v>
          </cell>
          <cell r="C145">
            <v>93</v>
          </cell>
          <cell r="D145">
            <v>6.4603000000000002</v>
          </cell>
        </row>
        <row r="146">
          <cell r="A146">
            <v>1614</v>
          </cell>
          <cell r="B146">
            <v>60</v>
          </cell>
          <cell r="C146">
            <v>93</v>
          </cell>
          <cell r="D146">
            <v>3.5238</v>
          </cell>
        </row>
        <row r="147">
          <cell r="A147">
            <v>858</v>
          </cell>
          <cell r="B147">
            <v>30</v>
          </cell>
          <cell r="C147">
            <v>92</v>
          </cell>
          <cell r="D147">
            <v>2.0135999999999998</v>
          </cell>
        </row>
        <row r="148">
          <cell r="A148">
            <v>4869</v>
          </cell>
          <cell r="B148">
            <v>40</v>
          </cell>
          <cell r="C148">
            <v>80</v>
          </cell>
          <cell r="D148">
            <v>6.7119999999999997</v>
          </cell>
        </row>
        <row r="149">
          <cell r="A149">
            <v>5848</v>
          </cell>
          <cell r="B149">
            <v>15</v>
          </cell>
          <cell r="C149">
            <v>40</v>
          </cell>
          <cell r="D149">
            <v>7.5510000000000002</v>
          </cell>
        </row>
        <row r="150">
          <cell r="A150">
            <v>7584</v>
          </cell>
          <cell r="B150">
            <v>95</v>
          </cell>
          <cell r="C150">
            <v>93</v>
          </cell>
          <cell r="D150">
            <v>5.5793499999999998</v>
          </cell>
        </row>
        <row r="151">
          <cell r="A151">
            <v>3732</v>
          </cell>
          <cell r="B151">
            <v>55</v>
          </cell>
          <cell r="C151">
            <v>90</v>
          </cell>
          <cell r="D151">
            <v>4.6144999999999996</v>
          </cell>
        </row>
        <row r="152">
          <cell r="A152">
            <v>3733</v>
          </cell>
          <cell r="B152">
            <v>15</v>
          </cell>
          <cell r="C152">
            <v>40</v>
          </cell>
          <cell r="D152">
            <v>7.5510000000000002</v>
          </cell>
        </row>
        <row r="153">
          <cell r="A153">
            <v>1144</v>
          </cell>
          <cell r="B153">
            <v>35</v>
          </cell>
          <cell r="C153">
            <v>75</v>
          </cell>
          <cell r="D153">
            <v>7.3412499999999996</v>
          </cell>
        </row>
        <row r="154">
          <cell r="A154">
            <v>4068</v>
          </cell>
          <cell r="B154">
            <v>35</v>
          </cell>
          <cell r="C154">
            <v>40</v>
          </cell>
          <cell r="D154">
            <v>17.619</v>
          </cell>
        </row>
        <row r="155">
          <cell r="A155">
            <v>7959</v>
          </cell>
          <cell r="B155">
            <v>40</v>
          </cell>
          <cell r="C155">
            <v>45</v>
          </cell>
          <cell r="D155">
            <v>18.457999999999998</v>
          </cell>
        </row>
        <row r="156">
          <cell r="A156">
            <v>2078</v>
          </cell>
          <cell r="B156">
            <v>25</v>
          </cell>
          <cell r="C156">
            <v>90</v>
          </cell>
          <cell r="D156">
            <v>2.0975000000000001</v>
          </cell>
        </row>
        <row r="157">
          <cell r="B157">
            <v>660</v>
          </cell>
          <cell r="D157">
            <v>117.20829999999999</v>
          </cell>
        </row>
        <row r="158">
          <cell r="A158">
            <v>271</v>
          </cell>
          <cell r="B158">
            <v>20</v>
          </cell>
          <cell r="C158">
            <v>75</v>
          </cell>
          <cell r="D158">
            <v>4.1950000000000003</v>
          </cell>
        </row>
        <row r="159">
          <cell r="A159">
            <v>3167</v>
          </cell>
          <cell r="B159">
            <v>30</v>
          </cell>
          <cell r="C159">
            <v>70</v>
          </cell>
          <cell r="D159">
            <v>7.5510000000000002</v>
          </cell>
        </row>
        <row r="160">
          <cell r="A160">
            <v>3728</v>
          </cell>
          <cell r="B160">
            <v>55</v>
          </cell>
          <cell r="C160">
            <v>55</v>
          </cell>
          <cell r="D160">
            <v>20.765250000000002</v>
          </cell>
        </row>
        <row r="161">
          <cell r="A161">
            <v>5847</v>
          </cell>
          <cell r="B161">
            <v>60</v>
          </cell>
          <cell r="C161">
            <v>90</v>
          </cell>
          <cell r="D161">
            <v>5.0339999999999998</v>
          </cell>
        </row>
        <row r="162">
          <cell r="A162">
            <v>4097</v>
          </cell>
          <cell r="B162">
            <v>20</v>
          </cell>
          <cell r="C162">
            <v>70</v>
          </cell>
          <cell r="D162">
            <v>5.0339999999999998</v>
          </cell>
        </row>
        <row r="163">
          <cell r="A163">
            <v>504</v>
          </cell>
          <cell r="B163">
            <v>50</v>
          </cell>
          <cell r="C163">
            <v>93</v>
          </cell>
          <cell r="D163">
            <v>2.9364999999999997</v>
          </cell>
        </row>
        <row r="164">
          <cell r="A164">
            <v>309</v>
          </cell>
          <cell r="B164">
            <v>30</v>
          </cell>
          <cell r="C164">
            <v>90</v>
          </cell>
          <cell r="D164">
            <v>2.5169999999999999</v>
          </cell>
        </row>
        <row r="165">
          <cell r="A165">
            <v>6138</v>
          </cell>
          <cell r="B165">
            <v>55</v>
          </cell>
          <cell r="C165">
            <v>40</v>
          </cell>
          <cell r="D165">
            <v>27.686999999999998</v>
          </cell>
        </row>
        <row r="166">
          <cell r="A166">
            <v>3184</v>
          </cell>
          <cell r="B166">
            <v>80</v>
          </cell>
          <cell r="C166">
            <v>90</v>
          </cell>
          <cell r="D166">
            <v>6.7119999999999997</v>
          </cell>
        </row>
        <row r="167">
          <cell r="A167">
            <v>4092</v>
          </cell>
          <cell r="B167">
            <v>20</v>
          </cell>
          <cell r="C167">
            <v>90</v>
          </cell>
          <cell r="D167">
            <v>1.6779999999999999</v>
          </cell>
        </row>
        <row r="168">
          <cell r="A168">
            <v>672</v>
          </cell>
          <cell r="B168">
            <v>70</v>
          </cell>
          <cell r="C168">
            <v>92</v>
          </cell>
          <cell r="D168">
            <v>4.6983999999999995</v>
          </cell>
        </row>
        <row r="169">
          <cell r="A169">
            <v>7041</v>
          </cell>
          <cell r="B169">
            <v>40</v>
          </cell>
          <cell r="C169">
            <v>50</v>
          </cell>
          <cell r="D169">
            <v>16.78</v>
          </cell>
        </row>
        <row r="170">
          <cell r="A170">
            <v>8059</v>
          </cell>
          <cell r="B170">
            <v>40</v>
          </cell>
          <cell r="C170">
            <v>40</v>
          </cell>
          <cell r="D170">
            <v>20.135999999999999</v>
          </cell>
        </row>
        <row r="171">
          <cell r="B171">
            <v>570</v>
          </cell>
          <cell r="D171">
            <v>125.72415000000001</v>
          </cell>
        </row>
        <row r="172">
          <cell r="A172">
            <v>3203</v>
          </cell>
          <cell r="B172">
            <v>70</v>
          </cell>
          <cell r="C172">
            <v>93</v>
          </cell>
          <cell r="D172">
            <v>4.1110999999999995</v>
          </cell>
        </row>
        <row r="173">
          <cell r="A173">
            <v>6169</v>
          </cell>
          <cell r="B173">
            <v>10</v>
          </cell>
          <cell r="C173">
            <v>80</v>
          </cell>
          <cell r="D173">
            <v>1.6779999999999999</v>
          </cell>
        </row>
        <row r="174">
          <cell r="A174">
            <v>2762</v>
          </cell>
          <cell r="B174">
            <v>25</v>
          </cell>
          <cell r="C174">
            <v>40</v>
          </cell>
          <cell r="D174">
            <v>12.585000000000001</v>
          </cell>
        </row>
        <row r="175">
          <cell r="A175">
            <v>5934</v>
          </cell>
          <cell r="B175">
            <v>25</v>
          </cell>
          <cell r="C175">
            <v>80</v>
          </cell>
          <cell r="D175">
            <v>4.1950000000000003</v>
          </cell>
        </row>
        <row r="176">
          <cell r="A176">
            <v>4108</v>
          </cell>
          <cell r="B176">
            <v>100</v>
          </cell>
          <cell r="C176">
            <v>90</v>
          </cell>
          <cell r="D176">
            <v>8.39</v>
          </cell>
        </row>
        <row r="177">
          <cell r="A177">
            <v>5803</v>
          </cell>
          <cell r="B177">
            <v>60</v>
          </cell>
          <cell r="C177">
            <v>45</v>
          </cell>
          <cell r="D177">
            <v>27.686999999999998</v>
          </cell>
        </row>
        <row r="178">
          <cell r="A178">
            <v>4742</v>
          </cell>
          <cell r="B178">
            <v>35</v>
          </cell>
          <cell r="C178">
            <v>50</v>
          </cell>
          <cell r="D178">
            <v>14.682499999999999</v>
          </cell>
        </row>
        <row r="179">
          <cell r="A179">
            <v>3233</v>
          </cell>
          <cell r="B179">
            <v>30</v>
          </cell>
          <cell r="C179">
            <v>40</v>
          </cell>
          <cell r="D179">
            <v>15.102</v>
          </cell>
        </row>
        <row r="180">
          <cell r="A180">
            <v>4230</v>
          </cell>
          <cell r="B180">
            <v>100</v>
          </cell>
          <cell r="C180">
            <v>90</v>
          </cell>
          <cell r="D180">
            <v>8.39</v>
          </cell>
        </row>
        <row r="181">
          <cell r="A181">
            <v>2761</v>
          </cell>
          <cell r="B181">
            <v>35</v>
          </cell>
          <cell r="C181">
            <v>80</v>
          </cell>
          <cell r="D181">
            <v>5.8729999999999993</v>
          </cell>
        </row>
        <row r="182">
          <cell r="A182">
            <v>4953</v>
          </cell>
          <cell r="B182">
            <v>20</v>
          </cell>
          <cell r="C182">
            <v>50</v>
          </cell>
          <cell r="D182">
            <v>8.39</v>
          </cell>
        </row>
        <row r="183">
          <cell r="A183">
            <v>3622</v>
          </cell>
          <cell r="B183">
            <v>5</v>
          </cell>
          <cell r="C183">
            <v>85</v>
          </cell>
          <cell r="D183">
            <v>0.62924999999999998</v>
          </cell>
        </row>
        <row r="184">
          <cell r="A184">
            <v>5862</v>
          </cell>
          <cell r="B184">
            <v>25</v>
          </cell>
          <cell r="C184">
            <v>60</v>
          </cell>
          <cell r="D184">
            <v>8.39</v>
          </cell>
        </row>
        <row r="185">
          <cell r="A185">
            <v>6082</v>
          </cell>
          <cell r="B185">
            <v>30</v>
          </cell>
          <cell r="C185">
            <v>70</v>
          </cell>
          <cell r="D185">
            <v>7.5510000000000002</v>
          </cell>
        </row>
        <row r="186">
          <cell r="A186">
            <v>3204</v>
          </cell>
          <cell r="B186">
            <v>60</v>
          </cell>
          <cell r="C186">
            <v>90</v>
          </cell>
          <cell r="D186">
            <v>5.0339999999999998</v>
          </cell>
        </row>
        <row r="187">
          <cell r="B187">
            <v>630</v>
          </cell>
          <cell r="D187">
            <v>132.68785</v>
          </cell>
        </row>
        <row r="188">
          <cell r="A188">
            <v>4666</v>
          </cell>
          <cell r="B188">
            <v>50</v>
          </cell>
          <cell r="C188">
            <v>40</v>
          </cell>
          <cell r="D188">
            <v>25.17</v>
          </cell>
        </row>
        <row r="189">
          <cell r="A189">
            <v>3236</v>
          </cell>
          <cell r="B189">
            <v>110</v>
          </cell>
          <cell r="C189">
            <v>92</v>
          </cell>
          <cell r="D189">
            <v>7.3831999999999995</v>
          </cell>
        </row>
        <row r="190">
          <cell r="A190">
            <v>4114</v>
          </cell>
          <cell r="B190">
            <v>50</v>
          </cell>
          <cell r="C190">
            <v>90</v>
          </cell>
          <cell r="D190">
            <v>4.1950000000000003</v>
          </cell>
        </row>
        <row r="191">
          <cell r="A191">
            <v>4118</v>
          </cell>
          <cell r="B191">
            <v>25</v>
          </cell>
          <cell r="C191">
            <v>50</v>
          </cell>
          <cell r="D191">
            <v>10.487500000000001</v>
          </cell>
        </row>
        <row r="192">
          <cell r="A192">
            <v>2759</v>
          </cell>
          <cell r="B192">
            <v>45</v>
          </cell>
          <cell r="C192">
            <v>90</v>
          </cell>
          <cell r="D192">
            <v>3.7755000000000001</v>
          </cell>
        </row>
        <row r="193">
          <cell r="A193">
            <v>216</v>
          </cell>
          <cell r="B193">
            <v>75</v>
          </cell>
          <cell r="C193">
            <v>92</v>
          </cell>
          <cell r="D193">
            <v>5.0339999999999998</v>
          </cell>
        </row>
        <row r="194">
          <cell r="A194">
            <v>4688</v>
          </cell>
          <cell r="B194">
            <v>30</v>
          </cell>
          <cell r="C194">
            <v>50</v>
          </cell>
          <cell r="D194">
            <v>12.585000000000001</v>
          </cell>
        </row>
        <row r="195">
          <cell r="A195">
            <v>5981</v>
          </cell>
          <cell r="B195">
            <v>100</v>
          </cell>
          <cell r="C195">
            <v>93</v>
          </cell>
          <cell r="D195">
            <v>5.8729999999999993</v>
          </cell>
        </row>
        <row r="196">
          <cell r="A196">
            <v>3238</v>
          </cell>
          <cell r="B196">
            <v>30</v>
          </cell>
          <cell r="C196">
            <v>90</v>
          </cell>
          <cell r="D196">
            <v>2.5169999999999999</v>
          </cell>
        </row>
        <row r="197">
          <cell r="B197">
            <v>515</v>
          </cell>
          <cell r="D197">
            <v>77.020200000000003</v>
          </cell>
        </row>
        <row r="198">
          <cell r="A198">
            <v>1184</v>
          </cell>
          <cell r="B198">
            <v>70</v>
          </cell>
          <cell r="C198">
            <v>92</v>
          </cell>
          <cell r="D198">
            <v>4.6983999999999995</v>
          </cell>
        </row>
        <row r="199">
          <cell r="A199">
            <v>3206</v>
          </cell>
          <cell r="B199">
            <v>70</v>
          </cell>
          <cell r="C199">
            <v>92</v>
          </cell>
          <cell r="D199">
            <v>4.6983999999999995</v>
          </cell>
        </row>
        <row r="200">
          <cell r="A200">
            <v>6167</v>
          </cell>
          <cell r="B200">
            <v>55</v>
          </cell>
          <cell r="C200">
            <v>80</v>
          </cell>
          <cell r="D200">
            <v>9.2289999999999992</v>
          </cell>
        </row>
        <row r="201">
          <cell r="A201">
            <v>5828</v>
          </cell>
          <cell r="B201">
            <v>20</v>
          </cell>
          <cell r="C201">
            <v>92</v>
          </cell>
          <cell r="D201">
            <v>1.3424</v>
          </cell>
        </row>
        <row r="202">
          <cell r="A202">
            <v>6088</v>
          </cell>
          <cell r="B202">
            <v>75</v>
          </cell>
          <cell r="C202">
            <v>90</v>
          </cell>
          <cell r="D202">
            <v>6.2925000000000004</v>
          </cell>
        </row>
        <row r="203">
          <cell r="A203">
            <v>7567</v>
          </cell>
          <cell r="B203">
            <v>80</v>
          </cell>
          <cell r="C203">
            <v>90</v>
          </cell>
          <cell r="D203">
            <v>6.7119999999999997</v>
          </cell>
        </row>
        <row r="204">
          <cell r="A204">
            <v>2911</v>
          </cell>
          <cell r="B204">
            <v>25</v>
          </cell>
          <cell r="C204">
            <v>40</v>
          </cell>
          <cell r="D204">
            <v>12.585000000000001</v>
          </cell>
        </row>
        <row r="205">
          <cell r="A205">
            <v>3209</v>
          </cell>
          <cell r="B205">
            <v>60</v>
          </cell>
          <cell r="C205">
            <v>93</v>
          </cell>
          <cell r="D205">
            <v>3.5238</v>
          </cell>
        </row>
        <row r="206">
          <cell r="A206">
            <v>6089</v>
          </cell>
          <cell r="B206">
            <v>50</v>
          </cell>
          <cell r="C206">
            <v>60</v>
          </cell>
          <cell r="D206">
            <v>16.78</v>
          </cell>
        </row>
        <row r="207">
          <cell r="A207">
            <v>6043</v>
          </cell>
          <cell r="B207">
            <v>30</v>
          </cell>
          <cell r="C207">
            <v>40</v>
          </cell>
          <cell r="D207">
            <v>15.102</v>
          </cell>
        </row>
        <row r="208">
          <cell r="B208">
            <v>535</v>
          </cell>
          <cell r="D208">
            <v>80.96350000000001</v>
          </cell>
        </row>
        <row r="209">
          <cell r="A209">
            <v>518</v>
          </cell>
          <cell r="B209">
            <v>90</v>
          </cell>
          <cell r="C209">
            <v>92</v>
          </cell>
          <cell r="D209">
            <v>6.0407999999999991</v>
          </cell>
        </row>
        <row r="210">
          <cell r="A210">
            <v>2113</v>
          </cell>
          <cell r="B210">
            <v>80</v>
          </cell>
          <cell r="C210">
            <v>93</v>
          </cell>
          <cell r="D210">
            <v>4.6983999999999995</v>
          </cell>
        </row>
        <row r="211">
          <cell r="A211">
            <v>6044</v>
          </cell>
          <cell r="B211">
            <v>45</v>
          </cell>
          <cell r="C211">
            <v>90</v>
          </cell>
          <cell r="D211">
            <v>3.7755000000000001</v>
          </cell>
        </row>
        <row r="212">
          <cell r="A212">
            <v>376</v>
          </cell>
          <cell r="B212">
            <v>75</v>
          </cell>
          <cell r="C212">
            <v>93</v>
          </cell>
          <cell r="D212">
            <v>4.4047499999999999</v>
          </cell>
        </row>
        <row r="213">
          <cell r="A213">
            <v>2763</v>
          </cell>
          <cell r="B213">
            <v>35</v>
          </cell>
          <cell r="C213">
            <v>90</v>
          </cell>
          <cell r="D213">
            <v>2.9364999999999997</v>
          </cell>
        </row>
        <row r="214">
          <cell r="A214">
            <v>7933</v>
          </cell>
          <cell r="B214">
            <v>30</v>
          </cell>
          <cell r="C214">
            <v>35</v>
          </cell>
          <cell r="D214">
            <v>16.360499999999998</v>
          </cell>
        </row>
        <row r="215">
          <cell r="A215">
            <v>4102</v>
          </cell>
          <cell r="B215">
            <v>35</v>
          </cell>
          <cell r="C215">
            <v>90</v>
          </cell>
          <cell r="D215">
            <v>2.9364999999999997</v>
          </cell>
        </row>
        <row r="216">
          <cell r="A216">
            <v>221</v>
          </cell>
          <cell r="B216">
            <v>20</v>
          </cell>
          <cell r="C216">
            <v>85</v>
          </cell>
          <cell r="D216">
            <v>2.5169999999999999</v>
          </cell>
        </row>
        <row r="217">
          <cell r="A217">
            <v>6124</v>
          </cell>
          <cell r="B217">
            <v>10</v>
          </cell>
          <cell r="C217">
            <v>40</v>
          </cell>
          <cell r="D217">
            <v>5.0339999999999998</v>
          </cell>
        </row>
        <row r="218">
          <cell r="A218">
            <v>5293</v>
          </cell>
          <cell r="B218">
            <v>20</v>
          </cell>
          <cell r="C218">
            <v>93</v>
          </cell>
          <cell r="D218">
            <v>1.1745999999999999</v>
          </cell>
        </row>
        <row r="219">
          <cell r="A219">
            <v>314</v>
          </cell>
          <cell r="B219">
            <v>100</v>
          </cell>
          <cell r="C219">
            <v>93</v>
          </cell>
          <cell r="D219">
            <v>5.8729999999999993</v>
          </cell>
        </row>
        <row r="220">
          <cell r="A220">
            <v>3629</v>
          </cell>
          <cell r="B220">
            <v>40</v>
          </cell>
          <cell r="C220">
            <v>85</v>
          </cell>
          <cell r="D220">
            <v>5.0339999999999998</v>
          </cell>
        </row>
        <row r="221">
          <cell r="A221">
            <v>4103</v>
          </cell>
          <cell r="B221">
            <v>80</v>
          </cell>
          <cell r="C221">
            <v>90</v>
          </cell>
          <cell r="D221">
            <v>6.7119999999999997</v>
          </cell>
        </row>
        <row r="222">
          <cell r="A222">
            <v>8917</v>
          </cell>
          <cell r="B222">
            <v>30</v>
          </cell>
          <cell r="C222">
            <v>50</v>
          </cell>
          <cell r="D222">
            <v>13</v>
          </cell>
        </row>
        <row r="223">
          <cell r="A223">
            <v>2731</v>
          </cell>
          <cell r="B223">
            <v>10</v>
          </cell>
          <cell r="C223">
            <v>40</v>
          </cell>
          <cell r="D223">
            <v>5.0339999999999998</v>
          </cell>
        </row>
        <row r="224">
          <cell r="A224">
            <v>6458</v>
          </cell>
          <cell r="B224">
            <v>65</v>
          </cell>
          <cell r="C224">
            <v>80</v>
          </cell>
          <cell r="D224">
            <v>10.907</v>
          </cell>
        </row>
        <row r="225">
          <cell r="B225">
            <v>765</v>
          </cell>
          <cell r="D225">
            <v>96.438549999999992</v>
          </cell>
        </row>
        <row r="226">
          <cell r="A226">
            <v>7581</v>
          </cell>
          <cell r="B226">
            <v>80</v>
          </cell>
          <cell r="C226">
            <v>90</v>
          </cell>
          <cell r="D226">
            <v>6.7119999999999997</v>
          </cell>
        </row>
        <row r="227">
          <cell r="A227">
            <v>75</v>
          </cell>
          <cell r="B227">
            <v>80</v>
          </cell>
          <cell r="C227">
            <v>90</v>
          </cell>
          <cell r="D227">
            <v>6.7119999999999997</v>
          </cell>
        </row>
        <row r="228">
          <cell r="A228">
            <v>144</v>
          </cell>
          <cell r="B228">
            <v>80</v>
          </cell>
          <cell r="C228">
            <v>93</v>
          </cell>
          <cell r="D228">
            <v>4.6983999999999995</v>
          </cell>
        </row>
        <row r="229">
          <cell r="A229">
            <v>519</v>
          </cell>
          <cell r="B229">
            <v>20</v>
          </cell>
          <cell r="C229">
            <v>40</v>
          </cell>
          <cell r="D229">
            <v>10.068</v>
          </cell>
        </row>
        <row r="230">
          <cell r="A230">
            <v>6444</v>
          </cell>
          <cell r="B230">
            <v>45</v>
          </cell>
          <cell r="C230">
            <v>90</v>
          </cell>
          <cell r="D230">
            <v>3.7755000000000001</v>
          </cell>
        </row>
        <row r="231">
          <cell r="A231">
            <v>284</v>
          </cell>
          <cell r="B231">
            <v>55</v>
          </cell>
          <cell r="C231">
            <v>93</v>
          </cell>
          <cell r="D231">
            <v>3.2301500000000001</v>
          </cell>
        </row>
        <row r="232">
          <cell r="A232">
            <v>2116</v>
          </cell>
          <cell r="B232">
            <v>30</v>
          </cell>
          <cell r="C232">
            <v>40</v>
          </cell>
          <cell r="D232">
            <v>15.102</v>
          </cell>
        </row>
        <row r="233">
          <cell r="A233">
            <v>4631</v>
          </cell>
          <cell r="B233">
            <v>55</v>
          </cell>
          <cell r="C233">
            <v>70</v>
          </cell>
          <cell r="D233">
            <v>13.843499999999999</v>
          </cell>
        </row>
        <row r="234">
          <cell r="A234">
            <v>2114</v>
          </cell>
          <cell r="B234">
            <v>30</v>
          </cell>
          <cell r="C234">
            <v>80</v>
          </cell>
          <cell r="D234">
            <v>5.0339999999999998</v>
          </cell>
        </row>
        <row r="235">
          <cell r="B235">
            <v>475</v>
          </cell>
          <cell r="D235">
            <v>69.175550000000001</v>
          </cell>
        </row>
        <row r="236">
          <cell r="A236">
            <v>3618</v>
          </cell>
          <cell r="B236">
            <v>40</v>
          </cell>
          <cell r="C236">
            <v>90</v>
          </cell>
          <cell r="D236">
            <v>3.3559999999999999</v>
          </cell>
        </row>
        <row r="237">
          <cell r="A237">
            <v>2969</v>
          </cell>
          <cell r="B237">
            <v>20</v>
          </cell>
          <cell r="C237">
            <v>50</v>
          </cell>
          <cell r="D237">
            <v>8.39</v>
          </cell>
        </row>
        <row r="238">
          <cell r="A238">
            <v>2927</v>
          </cell>
          <cell r="B238">
            <v>20</v>
          </cell>
          <cell r="C238">
            <v>70</v>
          </cell>
          <cell r="D238">
            <v>5.0339999999999998</v>
          </cell>
        </row>
        <row r="239">
          <cell r="A239">
            <v>8777</v>
          </cell>
          <cell r="B239">
            <v>25</v>
          </cell>
          <cell r="C239">
            <v>60</v>
          </cell>
          <cell r="D239">
            <v>8.39</v>
          </cell>
        </row>
        <row r="240">
          <cell r="A240">
            <v>5944</v>
          </cell>
          <cell r="B240">
            <v>135</v>
          </cell>
          <cell r="C240">
            <v>93</v>
          </cell>
          <cell r="D240">
            <v>7.9285500000000004</v>
          </cell>
        </row>
        <row r="241">
          <cell r="A241">
            <v>5466</v>
          </cell>
          <cell r="B241">
            <v>45</v>
          </cell>
          <cell r="C241">
            <v>93</v>
          </cell>
          <cell r="D241">
            <v>2.6428499999999997</v>
          </cell>
        </row>
        <row r="242">
          <cell r="A242">
            <v>3828</v>
          </cell>
          <cell r="B242">
            <v>25</v>
          </cell>
          <cell r="C242">
            <v>60</v>
          </cell>
          <cell r="D242">
            <v>8.39</v>
          </cell>
        </row>
        <row r="243">
          <cell r="A243">
            <v>1196</v>
          </cell>
          <cell r="B243">
            <v>10</v>
          </cell>
          <cell r="C243">
            <v>50</v>
          </cell>
          <cell r="D243">
            <v>4.1950000000000003</v>
          </cell>
        </row>
        <row r="244">
          <cell r="A244">
            <v>3838</v>
          </cell>
          <cell r="B244">
            <v>25</v>
          </cell>
          <cell r="C244">
            <v>70</v>
          </cell>
          <cell r="D244">
            <v>6.2925000000000004</v>
          </cell>
        </row>
        <row r="245">
          <cell r="A245">
            <v>546</v>
          </cell>
          <cell r="B245">
            <v>80</v>
          </cell>
          <cell r="C245">
            <v>90</v>
          </cell>
          <cell r="D245">
            <v>6.7119999999999997</v>
          </cell>
        </row>
        <row r="246">
          <cell r="A246">
            <v>2926</v>
          </cell>
          <cell r="B246">
            <v>30</v>
          </cell>
          <cell r="C246">
            <v>80</v>
          </cell>
          <cell r="D246">
            <v>5.0339999999999998</v>
          </cell>
        </row>
        <row r="247">
          <cell r="A247">
            <v>4689</v>
          </cell>
          <cell r="B247">
            <v>40</v>
          </cell>
          <cell r="C247">
            <v>85</v>
          </cell>
          <cell r="D247">
            <v>5.0339999999999998</v>
          </cell>
        </row>
        <row r="248">
          <cell r="A248">
            <v>2729</v>
          </cell>
          <cell r="B248">
            <v>100</v>
          </cell>
          <cell r="C248">
            <v>90</v>
          </cell>
          <cell r="D248">
            <v>8.39</v>
          </cell>
        </row>
        <row r="249">
          <cell r="A249">
            <v>3261</v>
          </cell>
          <cell r="B249">
            <v>50</v>
          </cell>
          <cell r="C249">
            <v>50</v>
          </cell>
          <cell r="D249">
            <v>20.975000000000001</v>
          </cell>
        </row>
        <row r="250">
          <cell r="A250">
            <v>526</v>
          </cell>
          <cell r="B250">
            <v>70</v>
          </cell>
          <cell r="C250">
            <v>50</v>
          </cell>
          <cell r="D250">
            <v>29.364999999999998</v>
          </cell>
        </row>
        <row r="251">
          <cell r="A251">
            <v>6456</v>
          </cell>
          <cell r="B251">
            <v>25</v>
          </cell>
          <cell r="C251">
            <v>80</v>
          </cell>
          <cell r="D251">
            <v>4.1950000000000003</v>
          </cell>
        </row>
        <row r="252">
          <cell r="A252">
            <v>5052</v>
          </cell>
          <cell r="B252">
            <v>50</v>
          </cell>
          <cell r="C252">
            <v>90</v>
          </cell>
          <cell r="D252">
            <v>4.1950000000000003</v>
          </cell>
        </row>
        <row r="253">
          <cell r="B253">
            <v>790</v>
          </cell>
          <cell r="D253">
            <v>138.51890000000003</v>
          </cell>
        </row>
        <row r="254">
          <cell r="A254">
            <v>521</v>
          </cell>
          <cell r="B254">
            <v>15</v>
          </cell>
          <cell r="C254">
            <v>45</v>
          </cell>
          <cell r="D254">
            <v>6.9217499999999994</v>
          </cell>
        </row>
        <row r="255">
          <cell r="A255">
            <v>3201</v>
          </cell>
          <cell r="B255">
            <v>90</v>
          </cell>
          <cell r="C255">
            <v>93</v>
          </cell>
          <cell r="D255">
            <v>5.2856999999999994</v>
          </cell>
        </row>
        <row r="256">
          <cell r="A256">
            <v>4104</v>
          </cell>
          <cell r="B256">
            <v>115</v>
          </cell>
          <cell r="C256">
            <v>90</v>
          </cell>
          <cell r="D256">
            <v>9.6484999999999985</v>
          </cell>
        </row>
        <row r="257">
          <cell r="A257">
            <v>3661</v>
          </cell>
          <cell r="B257">
            <v>100</v>
          </cell>
          <cell r="C257">
            <v>93</v>
          </cell>
          <cell r="D257">
            <v>5.8729999999999993</v>
          </cell>
        </row>
        <row r="258">
          <cell r="A258">
            <v>4425</v>
          </cell>
          <cell r="B258">
            <v>50</v>
          </cell>
          <cell r="C258">
            <v>80</v>
          </cell>
          <cell r="D258">
            <v>8.39</v>
          </cell>
        </row>
        <row r="259">
          <cell r="A259">
            <v>4741</v>
          </cell>
          <cell r="B259">
            <v>20</v>
          </cell>
          <cell r="C259">
            <v>60</v>
          </cell>
          <cell r="D259">
            <v>6.7119999999999997</v>
          </cell>
        </row>
        <row r="260">
          <cell r="A260">
            <v>6814</v>
          </cell>
          <cell r="B260">
            <v>30</v>
          </cell>
          <cell r="C260">
            <v>55</v>
          </cell>
          <cell r="D260">
            <v>11</v>
          </cell>
        </row>
        <row r="261">
          <cell r="A261">
            <v>5599</v>
          </cell>
          <cell r="B261">
            <v>60</v>
          </cell>
          <cell r="C261">
            <v>93</v>
          </cell>
          <cell r="D261">
            <v>3.5238</v>
          </cell>
        </row>
        <row r="262">
          <cell r="A262">
            <v>522</v>
          </cell>
          <cell r="B262">
            <v>80</v>
          </cell>
          <cell r="C262">
            <v>93</v>
          </cell>
          <cell r="D262">
            <v>4.6983999999999995</v>
          </cell>
        </row>
        <row r="263">
          <cell r="A263">
            <v>5043</v>
          </cell>
          <cell r="B263">
            <v>30</v>
          </cell>
          <cell r="C263">
            <v>45</v>
          </cell>
          <cell r="D263">
            <v>13.843499999999999</v>
          </cell>
        </row>
        <row r="264">
          <cell r="A264">
            <v>6026</v>
          </cell>
          <cell r="B264">
            <v>20</v>
          </cell>
          <cell r="C264">
            <v>85</v>
          </cell>
          <cell r="D264">
            <v>2.5169999999999999</v>
          </cell>
        </row>
        <row r="265">
          <cell r="A265">
            <v>2117</v>
          </cell>
          <cell r="B265">
            <v>65</v>
          </cell>
          <cell r="C265">
            <v>70</v>
          </cell>
          <cell r="D265">
            <v>16.360499999999998</v>
          </cell>
        </row>
        <row r="266">
          <cell r="A266">
            <v>6816</v>
          </cell>
          <cell r="B266">
            <v>30</v>
          </cell>
          <cell r="C266">
            <v>60</v>
          </cell>
          <cell r="D266">
            <v>10.068</v>
          </cell>
        </row>
        <row r="267">
          <cell r="A267">
            <v>4854</v>
          </cell>
          <cell r="B267">
            <v>70</v>
          </cell>
          <cell r="C267">
            <v>90</v>
          </cell>
          <cell r="D267">
            <v>5.8729999999999993</v>
          </cell>
        </row>
        <row r="268">
          <cell r="A268">
            <v>8937</v>
          </cell>
          <cell r="B268">
            <v>25</v>
          </cell>
          <cell r="C268">
            <v>50</v>
          </cell>
          <cell r="D268">
            <v>10.487500000000001</v>
          </cell>
        </row>
        <row r="269">
          <cell r="A269">
            <v>1187</v>
          </cell>
          <cell r="B269">
            <v>20</v>
          </cell>
          <cell r="C269">
            <v>50</v>
          </cell>
          <cell r="D269">
            <v>8.39</v>
          </cell>
        </row>
        <row r="270">
          <cell r="A270">
            <v>3621</v>
          </cell>
          <cell r="B270">
            <v>35</v>
          </cell>
          <cell r="C270">
            <v>40</v>
          </cell>
          <cell r="D270">
            <v>17.619</v>
          </cell>
        </row>
        <row r="271">
          <cell r="A271">
            <v>4764</v>
          </cell>
          <cell r="B271">
            <v>15</v>
          </cell>
          <cell r="C271">
            <v>70</v>
          </cell>
          <cell r="D271">
            <v>3.7755000000000001</v>
          </cell>
        </row>
        <row r="272">
          <cell r="B272">
            <v>870</v>
          </cell>
          <cell r="D272">
            <v>150.98714999999999</v>
          </cell>
        </row>
        <row r="273">
          <cell r="A273">
            <v>5718</v>
          </cell>
          <cell r="B273">
            <v>5</v>
          </cell>
          <cell r="C273">
            <v>60</v>
          </cell>
          <cell r="D273">
            <v>1.6779999999999999</v>
          </cell>
        </row>
        <row r="274">
          <cell r="A274">
            <v>2466</v>
          </cell>
          <cell r="B274">
            <v>70</v>
          </cell>
          <cell r="C274">
            <v>93</v>
          </cell>
          <cell r="D274">
            <v>4.1110999999999995</v>
          </cell>
        </row>
        <row r="275">
          <cell r="A275">
            <v>4774</v>
          </cell>
          <cell r="B275">
            <v>40</v>
          </cell>
          <cell r="C275">
            <v>70</v>
          </cell>
          <cell r="D275">
            <v>10.068</v>
          </cell>
        </row>
        <row r="276">
          <cell r="A276">
            <v>4218</v>
          </cell>
          <cell r="B276">
            <v>65</v>
          </cell>
          <cell r="C276">
            <v>80</v>
          </cell>
          <cell r="D276">
            <v>10.907</v>
          </cell>
        </row>
        <row r="277">
          <cell r="A277">
            <v>1188</v>
          </cell>
          <cell r="B277">
            <v>60</v>
          </cell>
          <cell r="C277">
            <v>93</v>
          </cell>
          <cell r="D277">
            <v>3.5238</v>
          </cell>
        </row>
        <row r="278">
          <cell r="A278">
            <v>3197</v>
          </cell>
          <cell r="B278">
            <v>20</v>
          </cell>
          <cell r="C278">
            <v>80</v>
          </cell>
          <cell r="D278">
            <v>3.3559999999999999</v>
          </cell>
        </row>
        <row r="279">
          <cell r="A279">
            <v>4776</v>
          </cell>
          <cell r="B279">
            <v>40</v>
          </cell>
          <cell r="C279">
            <v>90</v>
          </cell>
          <cell r="D279">
            <v>3.3559999999999999</v>
          </cell>
        </row>
        <row r="280">
          <cell r="A280">
            <v>5292</v>
          </cell>
          <cell r="B280">
            <v>45</v>
          </cell>
          <cell r="C280">
            <v>50</v>
          </cell>
          <cell r="D280">
            <v>18.877500000000001</v>
          </cell>
        </row>
        <row r="281">
          <cell r="A281">
            <v>2118</v>
          </cell>
          <cell r="B281">
            <v>55</v>
          </cell>
          <cell r="C281">
            <v>93</v>
          </cell>
          <cell r="D281">
            <v>3.2301500000000001</v>
          </cell>
        </row>
        <row r="282">
          <cell r="A282">
            <v>4857</v>
          </cell>
          <cell r="B282">
            <v>40</v>
          </cell>
          <cell r="C282">
            <v>92</v>
          </cell>
          <cell r="D282">
            <v>2.6848000000000001</v>
          </cell>
        </row>
        <row r="283">
          <cell r="A283">
            <v>523</v>
          </cell>
          <cell r="B283">
            <v>60</v>
          </cell>
          <cell r="C283">
            <v>93</v>
          </cell>
          <cell r="D283">
            <v>3.5238</v>
          </cell>
        </row>
        <row r="284">
          <cell r="A284">
            <v>5717</v>
          </cell>
          <cell r="B284">
            <v>70</v>
          </cell>
          <cell r="C284">
            <v>93</v>
          </cell>
          <cell r="D284">
            <v>4.1110999999999995</v>
          </cell>
        </row>
        <row r="285">
          <cell r="A285">
            <v>5672</v>
          </cell>
          <cell r="B285">
            <v>40</v>
          </cell>
          <cell r="C285">
            <v>80</v>
          </cell>
          <cell r="D285">
            <v>6.7119999999999997</v>
          </cell>
        </row>
        <row r="286">
          <cell r="B286">
            <v>610</v>
          </cell>
          <cell r="D286">
            <v>76.139250000000004</v>
          </cell>
        </row>
        <row r="287">
          <cell r="A287">
            <v>1598</v>
          </cell>
          <cell r="B287">
            <v>50</v>
          </cell>
          <cell r="C287">
            <v>93</v>
          </cell>
          <cell r="D287">
            <v>2.9364999999999997</v>
          </cell>
        </row>
        <row r="288">
          <cell r="A288">
            <v>3982</v>
          </cell>
          <cell r="B288">
            <v>45</v>
          </cell>
          <cell r="C288">
            <v>60</v>
          </cell>
          <cell r="D288">
            <v>15.102</v>
          </cell>
        </row>
        <row r="289">
          <cell r="A289">
            <v>2119</v>
          </cell>
          <cell r="B289">
            <v>45</v>
          </cell>
          <cell r="C289">
            <v>50</v>
          </cell>
          <cell r="D289">
            <v>18.877500000000001</v>
          </cell>
        </row>
        <row r="290">
          <cell r="A290">
            <v>7546</v>
          </cell>
          <cell r="B290">
            <v>110</v>
          </cell>
          <cell r="C290">
            <v>92</v>
          </cell>
          <cell r="D290">
            <v>7.3831999999999995</v>
          </cell>
        </row>
        <row r="291">
          <cell r="A291">
            <v>5041</v>
          </cell>
          <cell r="B291">
            <v>30</v>
          </cell>
          <cell r="C291">
            <v>90</v>
          </cell>
          <cell r="D291">
            <v>2.5169999999999999</v>
          </cell>
        </row>
        <row r="292">
          <cell r="A292">
            <v>2464</v>
          </cell>
          <cell r="B292">
            <v>40</v>
          </cell>
          <cell r="C292">
            <v>90</v>
          </cell>
          <cell r="D292">
            <v>3.3559999999999999</v>
          </cell>
        </row>
        <row r="293">
          <cell r="A293">
            <v>4684</v>
          </cell>
          <cell r="B293">
            <v>40</v>
          </cell>
          <cell r="C293">
            <v>40</v>
          </cell>
          <cell r="D293">
            <v>20.135999999999999</v>
          </cell>
        </row>
        <row r="294">
          <cell r="A294">
            <v>4686</v>
          </cell>
          <cell r="B294">
            <v>50</v>
          </cell>
          <cell r="C294">
            <v>45</v>
          </cell>
          <cell r="D294">
            <v>23.072500000000002</v>
          </cell>
        </row>
        <row r="295">
          <cell r="A295">
            <v>1191</v>
          </cell>
          <cell r="B295">
            <v>50</v>
          </cell>
          <cell r="C295">
            <v>93</v>
          </cell>
          <cell r="D295">
            <v>2.9364999999999997</v>
          </cell>
        </row>
        <row r="296">
          <cell r="A296">
            <v>6668</v>
          </cell>
          <cell r="B296">
            <v>50</v>
          </cell>
          <cell r="C296">
            <v>50</v>
          </cell>
          <cell r="D296">
            <v>20.975000000000001</v>
          </cell>
        </row>
        <row r="297">
          <cell r="A297">
            <v>5719</v>
          </cell>
          <cell r="B297">
            <v>70</v>
          </cell>
          <cell r="C297">
            <v>93</v>
          </cell>
          <cell r="D297">
            <v>4.1110999999999995</v>
          </cell>
        </row>
        <row r="298">
          <cell r="A298">
            <v>5291</v>
          </cell>
          <cell r="B298">
            <v>60</v>
          </cell>
          <cell r="C298">
            <v>92</v>
          </cell>
          <cell r="D298">
            <v>4.0271999999999997</v>
          </cell>
        </row>
        <row r="299">
          <cell r="A299">
            <v>1189</v>
          </cell>
          <cell r="B299">
            <v>50</v>
          </cell>
          <cell r="C299">
            <v>90</v>
          </cell>
          <cell r="D299">
            <v>4.1950000000000003</v>
          </cell>
        </row>
        <row r="300">
          <cell r="A300">
            <v>8938</v>
          </cell>
          <cell r="B300">
            <v>20</v>
          </cell>
          <cell r="C300">
            <v>50</v>
          </cell>
          <cell r="D300">
            <v>8.39</v>
          </cell>
        </row>
        <row r="301">
          <cell r="B301">
            <v>710</v>
          </cell>
          <cell r="D301">
            <v>129.62549999999999</v>
          </cell>
        </row>
        <row r="302">
          <cell r="A302">
            <v>3481</v>
          </cell>
          <cell r="B302">
            <v>45</v>
          </cell>
          <cell r="C302">
            <v>90</v>
          </cell>
          <cell r="D302">
            <v>3.7755000000000001</v>
          </cell>
        </row>
        <row r="303">
          <cell r="A303">
            <v>4615</v>
          </cell>
          <cell r="B303">
            <v>35</v>
          </cell>
          <cell r="C303">
            <v>50</v>
          </cell>
          <cell r="D303">
            <v>14.682499999999999</v>
          </cell>
        </row>
        <row r="304">
          <cell r="A304">
            <v>826</v>
          </cell>
          <cell r="B304">
            <v>20</v>
          </cell>
          <cell r="C304">
            <v>80</v>
          </cell>
          <cell r="D304">
            <v>3.3559999999999999</v>
          </cell>
        </row>
        <row r="305">
          <cell r="A305">
            <v>7053</v>
          </cell>
          <cell r="B305">
            <v>50</v>
          </cell>
          <cell r="C305">
            <v>93</v>
          </cell>
          <cell r="D305">
            <v>2.9364999999999997</v>
          </cell>
        </row>
        <row r="306">
          <cell r="A306">
            <v>2123</v>
          </cell>
          <cell r="B306">
            <v>60</v>
          </cell>
          <cell r="C306">
            <v>92</v>
          </cell>
          <cell r="D306">
            <v>4.0271999999999997</v>
          </cell>
        </row>
        <row r="307">
          <cell r="A307">
            <v>5467</v>
          </cell>
          <cell r="B307">
            <v>30</v>
          </cell>
          <cell r="C307">
            <v>90</v>
          </cell>
          <cell r="D307">
            <v>2.5169999999999999</v>
          </cell>
        </row>
        <row r="308">
          <cell r="A308">
            <v>547</v>
          </cell>
          <cell r="B308">
            <v>30</v>
          </cell>
          <cell r="C308">
            <v>60</v>
          </cell>
          <cell r="D308">
            <v>10.068</v>
          </cell>
        </row>
        <row r="309">
          <cell r="A309">
            <v>8940</v>
          </cell>
          <cell r="B309">
            <v>20</v>
          </cell>
          <cell r="C309">
            <v>50</v>
          </cell>
          <cell r="D309">
            <v>8.39</v>
          </cell>
        </row>
        <row r="310">
          <cell r="A310">
            <v>2952</v>
          </cell>
          <cell r="B310">
            <v>40</v>
          </cell>
          <cell r="C310">
            <v>90</v>
          </cell>
          <cell r="D310">
            <v>3.3559999999999999</v>
          </cell>
        </row>
        <row r="311">
          <cell r="A311">
            <v>5774</v>
          </cell>
          <cell r="B311">
            <v>60</v>
          </cell>
          <cell r="C311">
            <v>92</v>
          </cell>
          <cell r="D311">
            <v>4.0271999999999997</v>
          </cell>
        </row>
        <row r="312">
          <cell r="A312">
            <v>2122</v>
          </cell>
          <cell r="B312">
            <v>20</v>
          </cell>
          <cell r="C312">
            <v>60</v>
          </cell>
          <cell r="D312">
            <v>6.7119999999999997</v>
          </cell>
        </row>
        <row r="313">
          <cell r="A313">
            <v>6084</v>
          </cell>
          <cell r="B313">
            <v>5</v>
          </cell>
          <cell r="C313">
            <v>50</v>
          </cell>
          <cell r="D313">
            <v>2.0975000000000001</v>
          </cell>
        </row>
        <row r="314">
          <cell r="A314">
            <v>5602</v>
          </cell>
          <cell r="B314">
            <v>110</v>
          </cell>
          <cell r="C314">
            <v>92</v>
          </cell>
          <cell r="D314">
            <v>7</v>
          </cell>
        </row>
        <row r="315">
          <cell r="A315">
            <v>79</v>
          </cell>
          <cell r="B315">
            <v>45</v>
          </cell>
          <cell r="C315">
            <v>60</v>
          </cell>
          <cell r="D315">
            <v>15.102</v>
          </cell>
        </row>
        <row r="316">
          <cell r="A316">
            <v>5468</v>
          </cell>
          <cell r="B316">
            <v>20</v>
          </cell>
          <cell r="C316">
            <v>50</v>
          </cell>
          <cell r="D316">
            <v>8.39</v>
          </cell>
        </row>
        <row r="317">
          <cell r="A317">
            <v>4661</v>
          </cell>
          <cell r="B317">
            <v>60</v>
          </cell>
          <cell r="C317">
            <v>60</v>
          </cell>
          <cell r="D317">
            <v>20.135999999999999</v>
          </cell>
        </row>
        <row r="318">
          <cell r="A318">
            <v>1193</v>
          </cell>
          <cell r="B318">
            <v>15</v>
          </cell>
          <cell r="C318">
            <v>45</v>
          </cell>
          <cell r="D318">
            <v>6.9217499999999994</v>
          </cell>
        </row>
        <row r="319">
          <cell r="A319">
            <v>7049</v>
          </cell>
          <cell r="B319">
            <v>35</v>
          </cell>
          <cell r="C319">
            <v>35</v>
          </cell>
          <cell r="D319">
            <v>19.087249999999997</v>
          </cell>
        </row>
        <row r="320">
          <cell r="A320">
            <v>5671</v>
          </cell>
          <cell r="B320">
            <v>50</v>
          </cell>
          <cell r="C320">
            <v>45</v>
          </cell>
          <cell r="D320">
            <v>23.072500000000002</v>
          </cell>
        </row>
        <row r="321">
          <cell r="A321">
            <v>6719</v>
          </cell>
          <cell r="B321">
            <v>60</v>
          </cell>
          <cell r="C321">
            <v>90</v>
          </cell>
          <cell r="D321">
            <v>5.0339999999999998</v>
          </cell>
        </row>
        <row r="322">
          <cell r="A322">
            <v>3833</v>
          </cell>
          <cell r="B322">
            <v>25</v>
          </cell>
          <cell r="C322">
            <v>40</v>
          </cell>
          <cell r="D322">
            <v>12.585000000000001</v>
          </cell>
        </row>
        <row r="323">
          <cell r="A323">
            <v>1194</v>
          </cell>
          <cell r="B323">
            <v>15</v>
          </cell>
          <cell r="C323">
            <v>80</v>
          </cell>
          <cell r="D323">
            <v>2.5169999999999999</v>
          </cell>
        </row>
        <row r="324">
          <cell r="B324">
            <v>850</v>
          </cell>
          <cell r="D324">
            <v>185.79089999999999</v>
          </cell>
        </row>
        <row r="325">
          <cell r="B325">
            <v>14295</v>
          </cell>
          <cell r="C325">
            <v>80.635195883105055</v>
          </cell>
          <cell r="D325">
            <v>2322.5187500000006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12D5-DB41-4FE4-B1CD-937A42836361}">
  <dimension ref="A1:S103"/>
  <sheetViews>
    <sheetView view="pageBreakPreview" topLeftCell="A66" zoomScale="85" zoomScaleNormal="100" zoomScaleSheetLayoutView="85" zoomScalePageLayoutView="85" workbookViewId="0">
      <selection activeCell="O76" sqref="O76"/>
    </sheetView>
  </sheetViews>
  <sheetFormatPr defaultRowHeight="18.75"/>
  <cols>
    <col min="1" max="1" width="7.140625" style="1" customWidth="1"/>
    <col min="2" max="2" width="6" style="1" customWidth="1"/>
    <col min="3" max="3" width="12.5703125" style="1" customWidth="1"/>
    <col min="4" max="4" width="9.7109375" style="1" bestFit="1" customWidth="1"/>
    <col min="5" max="5" width="8.7109375" style="1" customWidth="1"/>
    <col min="6" max="6" width="9.7109375" style="1" customWidth="1"/>
    <col min="7" max="9" width="8" style="1" customWidth="1"/>
    <col min="10" max="10" width="10.140625" style="1" customWidth="1"/>
    <col min="11" max="11" width="9.140625" style="1"/>
    <col min="12" max="12" width="18.7109375" style="1" customWidth="1"/>
    <col min="13" max="19" width="13.140625" style="2" customWidth="1"/>
    <col min="20" max="256" width="9.140625" style="1"/>
    <col min="257" max="257" width="7.140625" style="1" customWidth="1"/>
    <col min="258" max="258" width="6" style="1" customWidth="1"/>
    <col min="259" max="259" width="12.5703125" style="1" customWidth="1"/>
    <col min="260" max="260" width="9.7109375" style="1" bestFit="1" customWidth="1"/>
    <col min="261" max="261" width="8.7109375" style="1" customWidth="1"/>
    <col min="262" max="262" width="9.7109375" style="1" customWidth="1"/>
    <col min="263" max="265" width="8" style="1" customWidth="1"/>
    <col min="266" max="266" width="10.140625" style="1" customWidth="1"/>
    <col min="267" max="267" width="9.140625" style="1"/>
    <col min="268" max="268" width="18.7109375" style="1" customWidth="1"/>
    <col min="269" max="275" width="13.140625" style="1" customWidth="1"/>
    <col min="276" max="512" width="9.140625" style="1"/>
    <col min="513" max="513" width="7.140625" style="1" customWidth="1"/>
    <col min="514" max="514" width="6" style="1" customWidth="1"/>
    <col min="515" max="515" width="12.5703125" style="1" customWidth="1"/>
    <col min="516" max="516" width="9.7109375" style="1" bestFit="1" customWidth="1"/>
    <col min="517" max="517" width="8.7109375" style="1" customWidth="1"/>
    <col min="518" max="518" width="9.7109375" style="1" customWidth="1"/>
    <col min="519" max="521" width="8" style="1" customWidth="1"/>
    <col min="522" max="522" width="10.140625" style="1" customWidth="1"/>
    <col min="523" max="523" width="9.140625" style="1"/>
    <col min="524" max="524" width="18.7109375" style="1" customWidth="1"/>
    <col min="525" max="531" width="13.140625" style="1" customWidth="1"/>
    <col min="532" max="768" width="9.140625" style="1"/>
    <col min="769" max="769" width="7.140625" style="1" customWidth="1"/>
    <col min="770" max="770" width="6" style="1" customWidth="1"/>
    <col min="771" max="771" width="12.5703125" style="1" customWidth="1"/>
    <col min="772" max="772" width="9.7109375" style="1" bestFit="1" customWidth="1"/>
    <col min="773" max="773" width="8.7109375" style="1" customWidth="1"/>
    <col min="774" max="774" width="9.7109375" style="1" customWidth="1"/>
    <col min="775" max="777" width="8" style="1" customWidth="1"/>
    <col min="778" max="778" width="10.140625" style="1" customWidth="1"/>
    <col min="779" max="779" width="9.140625" style="1"/>
    <col min="780" max="780" width="18.7109375" style="1" customWidth="1"/>
    <col min="781" max="787" width="13.140625" style="1" customWidth="1"/>
    <col min="788" max="1024" width="9.140625" style="1"/>
    <col min="1025" max="1025" width="7.140625" style="1" customWidth="1"/>
    <col min="1026" max="1026" width="6" style="1" customWidth="1"/>
    <col min="1027" max="1027" width="12.5703125" style="1" customWidth="1"/>
    <col min="1028" max="1028" width="9.7109375" style="1" bestFit="1" customWidth="1"/>
    <col min="1029" max="1029" width="8.7109375" style="1" customWidth="1"/>
    <col min="1030" max="1030" width="9.7109375" style="1" customWidth="1"/>
    <col min="1031" max="1033" width="8" style="1" customWidth="1"/>
    <col min="1034" max="1034" width="10.140625" style="1" customWidth="1"/>
    <col min="1035" max="1035" width="9.140625" style="1"/>
    <col min="1036" max="1036" width="18.7109375" style="1" customWidth="1"/>
    <col min="1037" max="1043" width="13.140625" style="1" customWidth="1"/>
    <col min="1044" max="1280" width="9.140625" style="1"/>
    <col min="1281" max="1281" width="7.140625" style="1" customWidth="1"/>
    <col min="1282" max="1282" width="6" style="1" customWidth="1"/>
    <col min="1283" max="1283" width="12.5703125" style="1" customWidth="1"/>
    <col min="1284" max="1284" width="9.7109375" style="1" bestFit="1" customWidth="1"/>
    <col min="1285" max="1285" width="8.7109375" style="1" customWidth="1"/>
    <col min="1286" max="1286" width="9.7109375" style="1" customWidth="1"/>
    <col min="1287" max="1289" width="8" style="1" customWidth="1"/>
    <col min="1290" max="1290" width="10.140625" style="1" customWidth="1"/>
    <col min="1291" max="1291" width="9.140625" style="1"/>
    <col min="1292" max="1292" width="18.7109375" style="1" customWidth="1"/>
    <col min="1293" max="1299" width="13.140625" style="1" customWidth="1"/>
    <col min="1300" max="1536" width="9.140625" style="1"/>
    <col min="1537" max="1537" width="7.140625" style="1" customWidth="1"/>
    <col min="1538" max="1538" width="6" style="1" customWidth="1"/>
    <col min="1539" max="1539" width="12.5703125" style="1" customWidth="1"/>
    <col min="1540" max="1540" width="9.7109375" style="1" bestFit="1" customWidth="1"/>
    <col min="1541" max="1541" width="8.7109375" style="1" customWidth="1"/>
    <col min="1542" max="1542" width="9.7109375" style="1" customWidth="1"/>
    <col min="1543" max="1545" width="8" style="1" customWidth="1"/>
    <col min="1546" max="1546" width="10.140625" style="1" customWidth="1"/>
    <col min="1547" max="1547" width="9.140625" style="1"/>
    <col min="1548" max="1548" width="18.7109375" style="1" customWidth="1"/>
    <col min="1549" max="1555" width="13.140625" style="1" customWidth="1"/>
    <col min="1556" max="1792" width="9.140625" style="1"/>
    <col min="1793" max="1793" width="7.140625" style="1" customWidth="1"/>
    <col min="1794" max="1794" width="6" style="1" customWidth="1"/>
    <col min="1795" max="1795" width="12.5703125" style="1" customWidth="1"/>
    <col min="1796" max="1796" width="9.7109375" style="1" bestFit="1" customWidth="1"/>
    <col min="1797" max="1797" width="8.7109375" style="1" customWidth="1"/>
    <col min="1798" max="1798" width="9.7109375" style="1" customWidth="1"/>
    <col min="1799" max="1801" width="8" style="1" customWidth="1"/>
    <col min="1802" max="1802" width="10.140625" style="1" customWidth="1"/>
    <col min="1803" max="1803" width="9.140625" style="1"/>
    <col min="1804" max="1804" width="18.7109375" style="1" customWidth="1"/>
    <col min="1805" max="1811" width="13.140625" style="1" customWidth="1"/>
    <col min="1812" max="2048" width="9.140625" style="1"/>
    <col min="2049" max="2049" width="7.140625" style="1" customWidth="1"/>
    <col min="2050" max="2050" width="6" style="1" customWidth="1"/>
    <col min="2051" max="2051" width="12.5703125" style="1" customWidth="1"/>
    <col min="2052" max="2052" width="9.7109375" style="1" bestFit="1" customWidth="1"/>
    <col min="2053" max="2053" width="8.7109375" style="1" customWidth="1"/>
    <col min="2054" max="2054" width="9.7109375" style="1" customWidth="1"/>
    <col min="2055" max="2057" width="8" style="1" customWidth="1"/>
    <col min="2058" max="2058" width="10.140625" style="1" customWidth="1"/>
    <col min="2059" max="2059" width="9.140625" style="1"/>
    <col min="2060" max="2060" width="18.7109375" style="1" customWidth="1"/>
    <col min="2061" max="2067" width="13.140625" style="1" customWidth="1"/>
    <col min="2068" max="2304" width="9.140625" style="1"/>
    <col min="2305" max="2305" width="7.140625" style="1" customWidth="1"/>
    <col min="2306" max="2306" width="6" style="1" customWidth="1"/>
    <col min="2307" max="2307" width="12.5703125" style="1" customWidth="1"/>
    <col min="2308" max="2308" width="9.7109375" style="1" bestFit="1" customWidth="1"/>
    <col min="2309" max="2309" width="8.7109375" style="1" customWidth="1"/>
    <col min="2310" max="2310" width="9.7109375" style="1" customWidth="1"/>
    <col min="2311" max="2313" width="8" style="1" customWidth="1"/>
    <col min="2314" max="2314" width="10.140625" style="1" customWidth="1"/>
    <col min="2315" max="2315" width="9.140625" style="1"/>
    <col min="2316" max="2316" width="18.7109375" style="1" customWidth="1"/>
    <col min="2317" max="2323" width="13.140625" style="1" customWidth="1"/>
    <col min="2324" max="2560" width="9.140625" style="1"/>
    <col min="2561" max="2561" width="7.140625" style="1" customWidth="1"/>
    <col min="2562" max="2562" width="6" style="1" customWidth="1"/>
    <col min="2563" max="2563" width="12.5703125" style="1" customWidth="1"/>
    <col min="2564" max="2564" width="9.7109375" style="1" bestFit="1" customWidth="1"/>
    <col min="2565" max="2565" width="8.7109375" style="1" customWidth="1"/>
    <col min="2566" max="2566" width="9.7109375" style="1" customWidth="1"/>
    <col min="2567" max="2569" width="8" style="1" customWidth="1"/>
    <col min="2570" max="2570" width="10.140625" style="1" customWidth="1"/>
    <col min="2571" max="2571" width="9.140625" style="1"/>
    <col min="2572" max="2572" width="18.7109375" style="1" customWidth="1"/>
    <col min="2573" max="2579" width="13.140625" style="1" customWidth="1"/>
    <col min="2580" max="2816" width="9.140625" style="1"/>
    <col min="2817" max="2817" width="7.140625" style="1" customWidth="1"/>
    <col min="2818" max="2818" width="6" style="1" customWidth="1"/>
    <col min="2819" max="2819" width="12.5703125" style="1" customWidth="1"/>
    <col min="2820" max="2820" width="9.7109375" style="1" bestFit="1" customWidth="1"/>
    <col min="2821" max="2821" width="8.7109375" style="1" customWidth="1"/>
    <col min="2822" max="2822" width="9.7109375" style="1" customWidth="1"/>
    <col min="2823" max="2825" width="8" style="1" customWidth="1"/>
    <col min="2826" max="2826" width="10.140625" style="1" customWidth="1"/>
    <col min="2827" max="2827" width="9.140625" style="1"/>
    <col min="2828" max="2828" width="18.7109375" style="1" customWidth="1"/>
    <col min="2829" max="2835" width="13.140625" style="1" customWidth="1"/>
    <col min="2836" max="3072" width="9.140625" style="1"/>
    <col min="3073" max="3073" width="7.140625" style="1" customWidth="1"/>
    <col min="3074" max="3074" width="6" style="1" customWidth="1"/>
    <col min="3075" max="3075" width="12.5703125" style="1" customWidth="1"/>
    <col min="3076" max="3076" width="9.7109375" style="1" bestFit="1" customWidth="1"/>
    <col min="3077" max="3077" width="8.7109375" style="1" customWidth="1"/>
    <col min="3078" max="3078" width="9.7109375" style="1" customWidth="1"/>
    <col min="3079" max="3081" width="8" style="1" customWidth="1"/>
    <col min="3082" max="3082" width="10.140625" style="1" customWidth="1"/>
    <col min="3083" max="3083" width="9.140625" style="1"/>
    <col min="3084" max="3084" width="18.7109375" style="1" customWidth="1"/>
    <col min="3085" max="3091" width="13.140625" style="1" customWidth="1"/>
    <col min="3092" max="3328" width="9.140625" style="1"/>
    <col min="3329" max="3329" width="7.140625" style="1" customWidth="1"/>
    <col min="3330" max="3330" width="6" style="1" customWidth="1"/>
    <col min="3331" max="3331" width="12.5703125" style="1" customWidth="1"/>
    <col min="3332" max="3332" width="9.7109375" style="1" bestFit="1" customWidth="1"/>
    <col min="3333" max="3333" width="8.7109375" style="1" customWidth="1"/>
    <col min="3334" max="3334" width="9.7109375" style="1" customWidth="1"/>
    <col min="3335" max="3337" width="8" style="1" customWidth="1"/>
    <col min="3338" max="3338" width="10.140625" style="1" customWidth="1"/>
    <col min="3339" max="3339" width="9.140625" style="1"/>
    <col min="3340" max="3340" width="18.7109375" style="1" customWidth="1"/>
    <col min="3341" max="3347" width="13.140625" style="1" customWidth="1"/>
    <col min="3348" max="3584" width="9.140625" style="1"/>
    <col min="3585" max="3585" width="7.140625" style="1" customWidth="1"/>
    <col min="3586" max="3586" width="6" style="1" customWidth="1"/>
    <col min="3587" max="3587" width="12.5703125" style="1" customWidth="1"/>
    <col min="3588" max="3588" width="9.7109375" style="1" bestFit="1" customWidth="1"/>
    <col min="3589" max="3589" width="8.7109375" style="1" customWidth="1"/>
    <col min="3590" max="3590" width="9.7109375" style="1" customWidth="1"/>
    <col min="3591" max="3593" width="8" style="1" customWidth="1"/>
    <col min="3594" max="3594" width="10.140625" style="1" customWidth="1"/>
    <col min="3595" max="3595" width="9.140625" style="1"/>
    <col min="3596" max="3596" width="18.7109375" style="1" customWidth="1"/>
    <col min="3597" max="3603" width="13.140625" style="1" customWidth="1"/>
    <col min="3604" max="3840" width="9.140625" style="1"/>
    <col min="3841" max="3841" width="7.140625" style="1" customWidth="1"/>
    <col min="3842" max="3842" width="6" style="1" customWidth="1"/>
    <col min="3843" max="3843" width="12.5703125" style="1" customWidth="1"/>
    <col min="3844" max="3844" width="9.7109375" style="1" bestFit="1" customWidth="1"/>
    <col min="3845" max="3845" width="8.7109375" style="1" customWidth="1"/>
    <col min="3846" max="3846" width="9.7109375" style="1" customWidth="1"/>
    <col min="3847" max="3849" width="8" style="1" customWidth="1"/>
    <col min="3850" max="3850" width="10.140625" style="1" customWidth="1"/>
    <col min="3851" max="3851" width="9.140625" style="1"/>
    <col min="3852" max="3852" width="18.7109375" style="1" customWidth="1"/>
    <col min="3853" max="3859" width="13.140625" style="1" customWidth="1"/>
    <col min="3860" max="4096" width="9.140625" style="1"/>
    <col min="4097" max="4097" width="7.140625" style="1" customWidth="1"/>
    <col min="4098" max="4098" width="6" style="1" customWidth="1"/>
    <col min="4099" max="4099" width="12.5703125" style="1" customWidth="1"/>
    <col min="4100" max="4100" width="9.7109375" style="1" bestFit="1" customWidth="1"/>
    <col min="4101" max="4101" width="8.7109375" style="1" customWidth="1"/>
    <col min="4102" max="4102" width="9.7109375" style="1" customWidth="1"/>
    <col min="4103" max="4105" width="8" style="1" customWidth="1"/>
    <col min="4106" max="4106" width="10.140625" style="1" customWidth="1"/>
    <col min="4107" max="4107" width="9.140625" style="1"/>
    <col min="4108" max="4108" width="18.7109375" style="1" customWidth="1"/>
    <col min="4109" max="4115" width="13.140625" style="1" customWidth="1"/>
    <col min="4116" max="4352" width="9.140625" style="1"/>
    <col min="4353" max="4353" width="7.140625" style="1" customWidth="1"/>
    <col min="4354" max="4354" width="6" style="1" customWidth="1"/>
    <col min="4355" max="4355" width="12.5703125" style="1" customWidth="1"/>
    <col min="4356" max="4356" width="9.7109375" style="1" bestFit="1" customWidth="1"/>
    <col min="4357" max="4357" width="8.7109375" style="1" customWidth="1"/>
    <col min="4358" max="4358" width="9.7109375" style="1" customWidth="1"/>
    <col min="4359" max="4361" width="8" style="1" customWidth="1"/>
    <col min="4362" max="4362" width="10.140625" style="1" customWidth="1"/>
    <col min="4363" max="4363" width="9.140625" style="1"/>
    <col min="4364" max="4364" width="18.7109375" style="1" customWidth="1"/>
    <col min="4365" max="4371" width="13.140625" style="1" customWidth="1"/>
    <col min="4372" max="4608" width="9.140625" style="1"/>
    <col min="4609" max="4609" width="7.140625" style="1" customWidth="1"/>
    <col min="4610" max="4610" width="6" style="1" customWidth="1"/>
    <col min="4611" max="4611" width="12.5703125" style="1" customWidth="1"/>
    <col min="4612" max="4612" width="9.7109375" style="1" bestFit="1" customWidth="1"/>
    <col min="4613" max="4613" width="8.7109375" style="1" customWidth="1"/>
    <col min="4614" max="4614" width="9.7109375" style="1" customWidth="1"/>
    <col min="4615" max="4617" width="8" style="1" customWidth="1"/>
    <col min="4618" max="4618" width="10.140625" style="1" customWidth="1"/>
    <col min="4619" max="4619" width="9.140625" style="1"/>
    <col min="4620" max="4620" width="18.7109375" style="1" customWidth="1"/>
    <col min="4621" max="4627" width="13.140625" style="1" customWidth="1"/>
    <col min="4628" max="4864" width="9.140625" style="1"/>
    <col min="4865" max="4865" width="7.140625" style="1" customWidth="1"/>
    <col min="4866" max="4866" width="6" style="1" customWidth="1"/>
    <col min="4867" max="4867" width="12.5703125" style="1" customWidth="1"/>
    <col min="4868" max="4868" width="9.7109375" style="1" bestFit="1" customWidth="1"/>
    <col min="4869" max="4869" width="8.7109375" style="1" customWidth="1"/>
    <col min="4870" max="4870" width="9.7109375" style="1" customWidth="1"/>
    <col min="4871" max="4873" width="8" style="1" customWidth="1"/>
    <col min="4874" max="4874" width="10.140625" style="1" customWidth="1"/>
    <col min="4875" max="4875" width="9.140625" style="1"/>
    <col min="4876" max="4876" width="18.7109375" style="1" customWidth="1"/>
    <col min="4877" max="4883" width="13.140625" style="1" customWidth="1"/>
    <col min="4884" max="5120" width="9.140625" style="1"/>
    <col min="5121" max="5121" width="7.140625" style="1" customWidth="1"/>
    <col min="5122" max="5122" width="6" style="1" customWidth="1"/>
    <col min="5123" max="5123" width="12.5703125" style="1" customWidth="1"/>
    <col min="5124" max="5124" width="9.7109375" style="1" bestFit="1" customWidth="1"/>
    <col min="5125" max="5125" width="8.7109375" style="1" customWidth="1"/>
    <col min="5126" max="5126" width="9.7109375" style="1" customWidth="1"/>
    <col min="5127" max="5129" width="8" style="1" customWidth="1"/>
    <col min="5130" max="5130" width="10.140625" style="1" customWidth="1"/>
    <col min="5131" max="5131" width="9.140625" style="1"/>
    <col min="5132" max="5132" width="18.7109375" style="1" customWidth="1"/>
    <col min="5133" max="5139" width="13.140625" style="1" customWidth="1"/>
    <col min="5140" max="5376" width="9.140625" style="1"/>
    <col min="5377" max="5377" width="7.140625" style="1" customWidth="1"/>
    <col min="5378" max="5378" width="6" style="1" customWidth="1"/>
    <col min="5379" max="5379" width="12.5703125" style="1" customWidth="1"/>
    <col min="5380" max="5380" width="9.7109375" style="1" bestFit="1" customWidth="1"/>
    <col min="5381" max="5381" width="8.7109375" style="1" customWidth="1"/>
    <col min="5382" max="5382" width="9.7109375" style="1" customWidth="1"/>
    <col min="5383" max="5385" width="8" style="1" customWidth="1"/>
    <col min="5386" max="5386" width="10.140625" style="1" customWidth="1"/>
    <col min="5387" max="5387" width="9.140625" style="1"/>
    <col min="5388" max="5388" width="18.7109375" style="1" customWidth="1"/>
    <col min="5389" max="5395" width="13.140625" style="1" customWidth="1"/>
    <col min="5396" max="5632" width="9.140625" style="1"/>
    <col min="5633" max="5633" width="7.140625" style="1" customWidth="1"/>
    <col min="5634" max="5634" width="6" style="1" customWidth="1"/>
    <col min="5635" max="5635" width="12.5703125" style="1" customWidth="1"/>
    <col min="5636" max="5636" width="9.7109375" style="1" bestFit="1" customWidth="1"/>
    <col min="5637" max="5637" width="8.7109375" style="1" customWidth="1"/>
    <col min="5638" max="5638" width="9.7109375" style="1" customWidth="1"/>
    <col min="5639" max="5641" width="8" style="1" customWidth="1"/>
    <col min="5642" max="5642" width="10.140625" style="1" customWidth="1"/>
    <col min="5643" max="5643" width="9.140625" style="1"/>
    <col min="5644" max="5644" width="18.7109375" style="1" customWidth="1"/>
    <col min="5645" max="5651" width="13.140625" style="1" customWidth="1"/>
    <col min="5652" max="5888" width="9.140625" style="1"/>
    <col min="5889" max="5889" width="7.140625" style="1" customWidth="1"/>
    <col min="5890" max="5890" width="6" style="1" customWidth="1"/>
    <col min="5891" max="5891" width="12.5703125" style="1" customWidth="1"/>
    <col min="5892" max="5892" width="9.7109375" style="1" bestFit="1" customWidth="1"/>
    <col min="5893" max="5893" width="8.7109375" style="1" customWidth="1"/>
    <col min="5894" max="5894" width="9.7109375" style="1" customWidth="1"/>
    <col min="5895" max="5897" width="8" style="1" customWidth="1"/>
    <col min="5898" max="5898" width="10.140625" style="1" customWidth="1"/>
    <col min="5899" max="5899" width="9.140625" style="1"/>
    <col min="5900" max="5900" width="18.7109375" style="1" customWidth="1"/>
    <col min="5901" max="5907" width="13.140625" style="1" customWidth="1"/>
    <col min="5908" max="6144" width="9.140625" style="1"/>
    <col min="6145" max="6145" width="7.140625" style="1" customWidth="1"/>
    <col min="6146" max="6146" width="6" style="1" customWidth="1"/>
    <col min="6147" max="6147" width="12.5703125" style="1" customWidth="1"/>
    <col min="6148" max="6148" width="9.7109375" style="1" bestFit="1" customWidth="1"/>
    <col min="6149" max="6149" width="8.7109375" style="1" customWidth="1"/>
    <col min="6150" max="6150" width="9.7109375" style="1" customWidth="1"/>
    <col min="6151" max="6153" width="8" style="1" customWidth="1"/>
    <col min="6154" max="6154" width="10.140625" style="1" customWidth="1"/>
    <col min="6155" max="6155" width="9.140625" style="1"/>
    <col min="6156" max="6156" width="18.7109375" style="1" customWidth="1"/>
    <col min="6157" max="6163" width="13.140625" style="1" customWidth="1"/>
    <col min="6164" max="6400" width="9.140625" style="1"/>
    <col min="6401" max="6401" width="7.140625" style="1" customWidth="1"/>
    <col min="6402" max="6402" width="6" style="1" customWidth="1"/>
    <col min="6403" max="6403" width="12.5703125" style="1" customWidth="1"/>
    <col min="6404" max="6404" width="9.7109375" style="1" bestFit="1" customWidth="1"/>
    <col min="6405" max="6405" width="8.7109375" style="1" customWidth="1"/>
    <col min="6406" max="6406" width="9.7109375" style="1" customWidth="1"/>
    <col min="6407" max="6409" width="8" style="1" customWidth="1"/>
    <col min="6410" max="6410" width="10.140625" style="1" customWidth="1"/>
    <col min="6411" max="6411" width="9.140625" style="1"/>
    <col min="6412" max="6412" width="18.7109375" style="1" customWidth="1"/>
    <col min="6413" max="6419" width="13.140625" style="1" customWidth="1"/>
    <col min="6420" max="6656" width="9.140625" style="1"/>
    <col min="6657" max="6657" width="7.140625" style="1" customWidth="1"/>
    <col min="6658" max="6658" width="6" style="1" customWidth="1"/>
    <col min="6659" max="6659" width="12.5703125" style="1" customWidth="1"/>
    <col min="6660" max="6660" width="9.7109375" style="1" bestFit="1" customWidth="1"/>
    <col min="6661" max="6661" width="8.7109375" style="1" customWidth="1"/>
    <col min="6662" max="6662" width="9.7109375" style="1" customWidth="1"/>
    <col min="6663" max="6665" width="8" style="1" customWidth="1"/>
    <col min="6666" max="6666" width="10.140625" style="1" customWidth="1"/>
    <col min="6667" max="6667" width="9.140625" style="1"/>
    <col min="6668" max="6668" width="18.7109375" style="1" customWidth="1"/>
    <col min="6669" max="6675" width="13.140625" style="1" customWidth="1"/>
    <col min="6676" max="6912" width="9.140625" style="1"/>
    <col min="6913" max="6913" width="7.140625" style="1" customWidth="1"/>
    <col min="6914" max="6914" width="6" style="1" customWidth="1"/>
    <col min="6915" max="6915" width="12.5703125" style="1" customWidth="1"/>
    <col min="6916" max="6916" width="9.7109375" style="1" bestFit="1" customWidth="1"/>
    <col min="6917" max="6917" width="8.7109375" style="1" customWidth="1"/>
    <col min="6918" max="6918" width="9.7109375" style="1" customWidth="1"/>
    <col min="6919" max="6921" width="8" style="1" customWidth="1"/>
    <col min="6922" max="6922" width="10.140625" style="1" customWidth="1"/>
    <col min="6923" max="6923" width="9.140625" style="1"/>
    <col min="6924" max="6924" width="18.7109375" style="1" customWidth="1"/>
    <col min="6925" max="6931" width="13.140625" style="1" customWidth="1"/>
    <col min="6932" max="7168" width="9.140625" style="1"/>
    <col min="7169" max="7169" width="7.140625" style="1" customWidth="1"/>
    <col min="7170" max="7170" width="6" style="1" customWidth="1"/>
    <col min="7171" max="7171" width="12.5703125" style="1" customWidth="1"/>
    <col min="7172" max="7172" width="9.7109375" style="1" bestFit="1" customWidth="1"/>
    <col min="7173" max="7173" width="8.7109375" style="1" customWidth="1"/>
    <col min="7174" max="7174" width="9.7109375" style="1" customWidth="1"/>
    <col min="7175" max="7177" width="8" style="1" customWidth="1"/>
    <col min="7178" max="7178" width="10.140625" style="1" customWidth="1"/>
    <col min="7179" max="7179" width="9.140625" style="1"/>
    <col min="7180" max="7180" width="18.7109375" style="1" customWidth="1"/>
    <col min="7181" max="7187" width="13.140625" style="1" customWidth="1"/>
    <col min="7188" max="7424" width="9.140625" style="1"/>
    <col min="7425" max="7425" width="7.140625" style="1" customWidth="1"/>
    <col min="7426" max="7426" width="6" style="1" customWidth="1"/>
    <col min="7427" max="7427" width="12.5703125" style="1" customWidth="1"/>
    <col min="7428" max="7428" width="9.7109375" style="1" bestFit="1" customWidth="1"/>
    <col min="7429" max="7429" width="8.7109375" style="1" customWidth="1"/>
    <col min="7430" max="7430" width="9.7109375" style="1" customWidth="1"/>
    <col min="7431" max="7433" width="8" style="1" customWidth="1"/>
    <col min="7434" max="7434" width="10.140625" style="1" customWidth="1"/>
    <col min="7435" max="7435" width="9.140625" style="1"/>
    <col min="7436" max="7436" width="18.7109375" style="1" customWidth="1"/>
    <col min="7437" max="7443" width="13.140625" style="1" customWidth="1"/>
    <col min="7444" max="7680" width="9.140625" style="1"/>
    <col min="7681" max="7681" width="7.140625" style="1" customWidth="1"/>
    <col min="7682" max="7682" width="6" style="1" customWidth="1"/>
    <col min="7683" max="7683" width="12.5703125" style="1" customWidth="1"/>
    <col min="7684" max="7684" width="9.7109375" style="1" bestFit="1" customWidth="1"/>
    <col min="7685" max="7685" width="8.7109375" style="1" customWidth="1"/>
    <col min="7686" max="7686" width="9.7109375" style="1" customWidth="1"/>
    <col min="7687" max="7689" width="8" style="1" customWidth="1"/>
    <col min="7690" max="7690" width="10.140625" style="1" customWidth="1"/>
    <col min="7691" max="7691" width="9.140625" style="1"/>
    <col min="7692" max="7692" width="18.7109375" style="1" customWidth="1"/>
    <col min="7693" max="7699" width="13.140625" style="1" customWidth="1"/>
    <col min="7700" max="7936" width="9.140625" style="1"/>
    <col min="7937" max="7937" width="7.140625" style="1" customWidth="1"/>
    <col min="7938" max="7938" width="6" style="1" customWidth="1"/>
    <col min="7939" max="7939" width="12.5703125" style="1" customWidth="1"/>
    <col min="7940" max="7940" width="9.7109375" style="1" bestFit="1" customWidth="1"/>
    <col min="7941" max="7941" width="8.7109375" style="1" customWidth="1"/>
    <col min="7942" max="7942" width="9.7109375" style="1" customWidth="1"/>
    <col min="7943" max="7945" width="8" style="1" customWidth="1"/>
    <col min="7946" max="7946" width="10.140625" style="1" customWidth="1"/>
    <col min="7947" max="7947" width="9.140625" style="1"/>
    <col min="7948" max="7948" width="18.7109375" style="1" customWidth="1"/>
    <col min="7949" max="7955" width="13.140625" style="1" customWidth="1"/>
    <col min="7956" max="8192" width="9.140625" style="1"/>
    <col min="8193" max="8193" width="7.140625" style="1" customWidth="1"/>
    <col min="8194" max="8194" width="6" style="1" customWidth="1"/>
    <col min="8195" max="8195" width="12.5703125" style="1" customWidth="1"/>
    <col min="8196" max="8196" width="9.7109375" style="1" bestFit="1" customWidth="1"/>
    <col min="8197" max="8197" width="8.7109375" style="1" customWidth="1"/>
    <col min="8198" max="8198" width="9.7109375" style="1" customWidth="1"/>
    <col min="8199" max="8201" width="8" style="1" customWidth="1"/>
    <col min="8202" max="8202" width="10.140625" style="1" customWidth="1"/>
    <col min="8203" max="8203" width="9.140625" style="1"/>
    <col min="8204" max="8204" width="18.7109375" style="1" customWidth="1"/>
    <col min="8205" max="8211" width="13.140625" style="1" customWidth="1"/>
    <col min="8212" max="8448" width="9.140625" style="1"/>
    <col min="8449" max="8449" width="7.140625" style="1" customWidth="1"/>
    <col min="8450" max="8450" width="6" style="1" customWidth="1"/>
    <col min="8451" max="8451" width="12.5703125" style="1" customWidth="1"/>
    <col min="8452" max="8452" width="9.7109375" style="1" bestFit="1" customWidth="1"/>
    <col min="8453" max="8453" width="8.7109375" style="1" customWidth="1"/>
    <col min="8454" max="8454" width="9.7109375" style="1" customWidth="1"/>
    <col min="8455" max="8457" width="8" style="1" customWidth="1"/>
    <col min="8458" max="8458" width="10.140625" style="1" customWidth="1"/>
    <col min="8459" max="8459" width="9.140625" style="1"/>
    <col min="8460" max="8460" width="18.7109375" style="1" customWidth="1"/>
    <col min="8461" max="8467" width="13.140625" style="1" customWidth="1"/>
    <col min="8468" max="8704" width="9.140625" style="1"/>
    <col min="8705" max="8705" width="7.140625" style="1" customWidth="1"/>
    <col min="8706" max="8706" width="6" style="1" customWidth="1"/>
    <col min="8707" max="8707" width="12.5703125" style="1" customWidth="1"/>
    <col min="8708" max="8708" width="9.7109375" style="1" bestFit="1" customWidth="1"/>
    <col min="8709" max="8709" width="8.7109375" style="1" customWidth="1"/>
    <col min="8710" max="8710" width="9.7109375" style="1" customWidth="1"/>
    <col min="8711" max="8713" width="8" style="1" customWidth="1"/>
    <col min="8714" max="8714" width="10.140625" style="1" customWidth="1"/>
    <col min="8715" max="8715" width="9.140625" style="1"/>
    <col min="8716" max="8716" width="18.7109375" style="1" customWidth="1"/>
    <col min="8717" max="8723" width="13.140625" style="1" customWidth="1"/>
    <col min="8724" max="8960" width="9.140625" style="1"/>
    <col min="8961" max="8961" width="7.140625" style="1" customWidth="1"/>
    <col min="8962" max="8962" width="6" style="1" customWidth="1"/>
    <col min="8963" max="8963" width="12.5703125" style="1" customWidth="1"/>
    <col min="8964" max="8964" width="9.7109375" style="1" bestFit="1" customWidth="1"/>
    <col min="8965" max="8965" width="8.7109375" style="1" customWidth="1"/>
    <col min="8966" max="8966" width="9.7109375" style="1" customWidth="1"/>
    <col min="8967" max="8969" width="8" style="1" customWidth="1"/>
    <col min="8970" max="8970" width="10.140625" style="1" customWidth="1"/>
    <col min="8971" max="8971" width="9.140625" style="1"/>
    <col min="8972" max="8972" width="18.7109375" style="1" customWidth="1"/>
    <col min="8973" max="8979" width="13.140625" style="1" customWidth="1"/>
    <col min="8980" max="9216" width="9.140625" style="1"/>
    <col min="9217" max="9217" width="7.140625" style="1" customWidth="1"/>
    <col min="9218" max="9218" width="6" style="1" customWidth="1"/>
    <col min="9219" max="9219" width="12.5703125" style="1" customWidth="1"/>
    <col min="9220" max="9220" width="9.7109375" style="1" bestFit="1" customWidth="1"/>
    <col min="9221" max="9221" width="8.7109375" style="1" customWidth="1"/>
    <col min="9222" max="9222" width="9.7109375" style="1" customWidth="1"/>
    <col min="9223" max="9225" width="8" style="1" customWidth="1"/>
    <col min="9226" max="9226" width="10.140625" style="1" customWidth="1"/>
    <col min="9227" max="9227" width="9.140625" style="1"/>
    <col min="9228" max="9228" width="18.7109375" style="1" customWidth="1"/>
    <col min="9229" max="9235" width="13.140625" style="1" customWidth="1"/>
    <col min="9236" max="9472" width="9.140625" style="1"/>
    <col min="9473" max="9473" width="7.140625" style="1" customWidth="1"/>
    <col min="9474" max="9474" width="6" style="1" customWidth="1"/>
    <col min="9475" max="9475" width="12.5703125" style="1" customWidth="1"/>
    <col min="9476" max="9476" width="9.7109375" style="1" bestFit="1" customWidth="1"/>
    <col min="9477" max="9477" width="8.7109375" style="1" customWidth="1"/>
    <col min="9478" max="9478" width="9.7109375" style="1" customWidth="1"/>
    <col min="9479" max="9481" width="8" style="1" customWidth="1"/>
    <col min="9482" max="9482" width="10.140625" style="1" customWidth="1"/>
    <col min="9483" max="9483" width="9.140625" style="1"/>
    <col min="9484" max="9484" width="18.7109375" style="1" customWidth="1"/>
    <col min="9485" max="9491" width="13.140625" style="1" customWidth="1"/>
    <col min="9492" max="9728" width="9.140625" style="1"/>
    <col min="9729" max="9729" width="7.140625" style="1" customWidth="1"/>
    <col min="9730" max="9730" width="6" style="1" customWidth="1"/>
    <col min="9731" max="9731" width="12.5703125" style="1" customWidth="1"/>
    <col min="9732" max="9732" width="9.7109375" style="1" bestFit="1" customWidth="1"/>
    <col min="9733" max="9733" width="8.7109375" style="1" customWidth="1"/>
    <col min="9734" max="9734" width="9.7109375" style="1" customWidth="1"/>
    <col min="9735" max="9737" width="8" style="1" customWidth="1"/>
    <col min="9738" max="9738" width="10.140625" style="1" customWidth="1"/>
    <col min="9739" max="9739" width="9.140625" style="1"/>
    <col min="9740" max="9740" width="18.7109375" style="1" customWidth="1"/>
    <col min="9741" max="9747" width="13.140625" style="1" customWidth="1"/>
    <col min="9748" max="9984" width="9.140625" style="1"/>
    <col min="9985" max="9985" width="7.140625" style="1" customWidth="1"/>
    <col min="9986" max="9986" width="6" style="1" customWidth="1"/>
    <col min="9987" max="9987" width="12.5703125" style="1" customWidth="1"/>
    <col min="9988" max="9988" width="9.7109375" style="1" bestFit="1" customWidth="1"/>
    <col min="9989" max="9989" width="8.7109375" style="1" customWidth="1"/>
    <col min="9990" max="9990" width="9.7109375" style="1" customWidth="1"/>
    <col min="9991" max="9993" width="8" style="1" customWidth="1"/>
    <col min="9994" max="9994" width="10.140625" style="1" customWidth="1"/>
    <col min="9995" max="9995" width="9.140625" style="1"/>
    <col min="9996" max="9996" width="18.7109375" style="1" customWidth="1"/>
    <col min="9997" max="10003" width="13.140625" style="1" customWidth="1"/>
    <col min="10004" max="10240" width="9.140625" style="1"/>
    <col min="10241" max="10241" width="7.140625" style="1" customWidth="1"/>
    <col min="10242" max="10242" width="6" style="1" customWidth="1"/>
    <col min="10243" max="10243" width="12.5703125" style="1" customWidth="1"/>
    <col min="10244" max="10244" width="9.7109375" style="1" bestFit="1" customWidth="1"/>
    <col min="10245" max="10245" width="8.7109375" style="1" customWidth="1"/>
    <col min="10246" max="10246" width="9.7109375" style="1" customWidth="1"/>
    <col min="10247" max="10249" width="8" style="1" customWidth="1"/>
    <col min="10250" max="10250" width="10.140625" style="1" customWidth="1"/>
    <col min="10251" max="10251" width="9.140625" style="1"/>
    <col min="10252" max="10252" width="18.7109375" style="1" customWidth="1"/>
    <col min="10253" max="10259" width="13.140625" style="1" customWidth="1"/>
    <col min="10260" max="10496" width="9.140625" style="1"/>
    <col min="10497" max="10497" width="7.140625" style="1" customWidth="1"/>
    <col min="10498" max="10498" width="6" style="1" customWidth="1"/>
    <col min="10499" max="10499" width="12.5703125" style="1" customWidth="1"/>
    <col min="10500" max="10500" width="9.7109375" style="1" bestFit="1" customWidth="1"/>
    <col min="10501" max="10501" width="8.7109375" style="1" customWidth="1"/>
    <col min="10502" max="10502" width="9.7109375" style="1" customWidth="1"/>
    <col min="10503" max="10505" width="8" style="1" customWidth="1"/>
    <col min="10506" max="10506" width="10.140625" style="1" customWidth="1"/>
    <col min="10507" max="10507" width="9.140625" style="1"/>
    <col min="10508" max="10508" width="18.7109375" style="1" customWidth="1"/>
    <col min="10509" max="10515" width="13.140625" style="1" customWidth="1"/>
    <col min="10516" max="10752" width="9.140625" style="1"/>
    <col min="10753" max="10753" width="7.140625" style="1" customWidth="1"/>
    <col min="10754" max="10754" width="6" style="1" customWidth="1"/>
    <col min="10755" max="10755" width="12.5703125" style="1" customWidth="1"/>
    <col min="10756" max="10756" width="9.7109375" style="1" bestFit="1" customWidth="1"/>
    <col min="10757" max="10757" width="8.7109375" style="1" customWidth="1"/>
    <col min="10758" max="10758" width="9.7109375" style="1" customWidth="1"/>
    <col min="10759" max="10761" width="8" style="1" customWidth="1"/>
    <col min="10762" max="10762" width="10.140625" style="1" customWidth="1"/>
    <col min="10763" max="10763" width="9.140625" style="1"/>
    <col min="10764" max="10764" width="18.7109375" style="1" customWidth="1"/>
    <col min="10765" max="10771" width="13.140625" style="1" customWidth="1"/>
    <col min="10772" max="11008" width="9.140625" style="1"/>
    <col min="11009" max="11009" width="7.140625" style="1" customWidth="1"/>
    <col min="11010" max="11010" width="6" style="1" customWidth="1"/>
    <col min="11011" max="11011" width="12.5703125" style="1" customWidth="1"/>
    <col min="11012" max="11012" width="9.7109375" style="1" bestFit="1" customWidth="1"/>
    <col min="11013" max="11013" width="8.7109375" style="1" customWidth="1"/>
    <col min="11014" max="11014" width="9.7109375" style="1" customWidth="1"/>
    <col min="11015" max="11017" width="8" style="1" customWidth="1"/>
    <col min="11018" max="11018" width="10.140625" style="1" customWidth="1"/>
    <col min="11019" max="11019" width="9.140625" style="1"/>
    <col min="11020" max="11020" width="18.7109375" style="1" customWidth="1"/>
    <col min="11021" max="11027" width="13.140625" style="1" customWidth="1"/>
    <col min="11028" max="11264" width="9.140625" style="1"/>
    <col min="11265" max="11265" width="7.140625" style="1" customWidth="1"/>
    <col min="11266" max="11266" width="6" style="1" customWidth="1"/>
    <col min="11267" max="11267" width="12.5703125" style="1" customWidth="1"/>
    <col min="11268" max="11268" width="9.7109375" style="1" bestFit="1" customWidth="1"/>
    <col min="11269" max="11269" width="8.7109375" style="1" customWidth="1"/>
    <col min="11270" max="11270" width="9.7109375" style="1" customWidth="1"/>
    <col min="11271" max="11273" width="8" style="1" customWidth="1"/>
    <col min="11274" max="11274" width="10.140625" style="1" customWidth="1"/>
    <col min="11275" max="11275" width="9.140625" style="1"/>
    <col min="11276" max="11276" width="18.7109375" style="1" customWidth="1"/>
    <col min="11277" max="11283" width="13.140625" style="1" customWidth="1"/>
    <col min="11284" max="11520" width="9.140625" style="1"/>
    <col min="11521" max="11521" width="7.140625" style="1" customWidth="1"/>
    <col min="11522" max="11522" width="6" style="1" customWidth="1"/>
    <col min="11523" max="11523" width="12.5703125" style="1" customWidth="1"/>
    <col min="11524" max="11524" width="9.7109375" style="1" bestFit="1" customWidth="1"/>
    <col min="11525" max="11525" width="8.7109375" style="1" customWidth="1"/>
    <col min="11526" max="11526" width="9.7109375" style="1" customWidth="1"/>
    <col min="11527" max="11529" width="8" style="1" customWidth="1"/>
    <col min="11530" max="11530" width="10.140625" style="1" customWidth="1"/>
    <col min="11531" max="11531" width="9.140625" style="1"/>
    <col min="11532" max="11532" width="18.7109375" style="1" customWidth="1"/>
    <col min="11533" max="11539" width="13.140625" style="1" customWidth="1"/>
    <col min="11540" max="11776" width="9.140625" style="1"/>
    <col min="11777" max="11777" width="7.140625" style="1" customWidth="1"/>
    <col min="11778" max="11778" width="6" style="1" customWidth="1"/>
    <col min="11779" max="11779" width="12.5703125" style="1" customWidth="1"/>
    <col min="11780" max="11780" width="9.7109375" style="1" bestFit="1" customWidth="1"/>
    <col min="11781" max="11781" width="8.7109375" style="1" customWidth="1"/>
    <col min="11782" max="11782" width="9.7109375" style="1" customWidth="1"/>
    <col min="11783" max="11785" width="8" style="1" customWidth="1"/>
    <col min="11786" max="11786" width="10.140625" style="1" customWidth="1"/>
    <col min="11787" max="11787" width="9.140625" style="1"/>
    <col min="11788" max="11788" width="18.7109375" style="1" customWidth="1"/>
    <col min="11789" max="11795" width="13.140625" style="1" customWidth="1"/>
    <col min="11796" max="12032" width="9.140625" style="1"/>
    <col min="12033" max="12033" width="7.140625" style="1" customWidth="1"/>
    <col min="12034" max="12034" width="6" style="1" customWidth="1"/>
    <col min="12035" max="12035" width="12.5703125" style="1" customWidth="1"/>
    <col min="12036" max="12036" width="9.7109375" style="1" bestFit="1" customWidth="1"/>
    <col min="12037" max="12037" width="8.7109375" style="1" customWidth="1"/>
    <col min="12038" max="12038" width="9.7109375" style="1" customWidth="1"/>
    <col min="12039" max="12041" width="8" style="1" customWidth="1"/>
    <col min="12042" max="12042" width="10.140625" style="1" customWidth="1"/>
    <col min="12043" max="12043" width="9.140625" style="1"/>
    <col min="12044" max="12044" width="18.7109375" style="1" customWidth="1"/>
    <col min="12045" max="12051" width="13.140625" style="1" customWidth="1"/>
    <col min="12052" max="12288" width="9.140625" style="1"/>
    <col min="12289" max="12289" width="7.140625" style="1" customWidth="1"/>
    <col min="12290" max="12290" width="6" style="1" customWidth="1"/>
    <col min="12291" max="12291" width="12.5703125" style="1" customWidth="1"/>
    <col min="12292" max="12292" width="9.7109375" style="1" bestFit="1" customWidth="1"/>
    <col min="12293" max="12293" width="8.7109375" style="1" customWidth="1"/>
    <col min="12294" max="12294" width="9.7109375" style="1" customWidth="1"/>
    <col min="12295" max="12297" width="8" style="1" customWidth="1"/>
    <col min="12298" max="12298" width="10.140625" style="1" customWidth="1"/>
    <col min="12299" max="12299" width="9.140625" style="1"/>
    <col min="12300" max="12300" width="18.7109375" style="1" customWidth="1"/>
    <col min="12301" max="12307" width="13.140625" style="1" customWidth="1"/>
    <col min="12308" max="12544" width="9.140625" style="1"/>
    <col min="12545" max="12545" width="7.140625" style="1" customWidth="1"/>
    <col min="12546" max="12546" width="6" style="1" customWidth="1"/>
    <col min="12547" max="12547" width="12.5703125" style="1" customWidth="1"/>
    <col min="12548" max="12548" width="9.7109375" style="1" bestFit="1" customWidth="1"/>
    <col min="12549" max="12549" width="8.7109375" style="1" customWidth="1"/>
    <col min="12550" max="12550" width="9.7109375" style="1" customWidth="1"/>
    <col min="12551" max="12553" width="8" style="1" customWidth="1"/>
    <col min="12554" max="12554" width="10.140625" style="1" customWidth="1"/>
    <col min="12555" max="12555" width="9.140625" style="1"/>
    <col min="12556" max="12556" width="18.7109375" style="1" customWidth="1"/>
    <col min="12557" max="12563" width="13.140625" style="1" customWidth="1"/>
    <col min="12564" max="12800" width="9.140625" style="1"/>
    <col min="12801" max="12801" width="7.140625" style="1" customWidth="1"/>
    <col min="12802" max="12802" width="6" style="1" customWidth="1"/>
    <col min="12803" max="12803" width="12.5703125" style="1" customWidth="1"/>
    <col min="12804" max="12804" width="9.7109375" style="1" bestFit="1" customWidth="1"/>
    <col min="12805" max="12805" width="8.7109375" style="1" customWidth="1"/>
    <col min="12806" max="12806" width="9.7109375" style="1" customWidth="1"/>
    <col min="12807" max="12809" width="8" style="1" customWidth="1"/>
    <col min="12810" max="12810" width="10.140625" style="1" customWidth="1"/>
    <col min="12811" max="12811" width="9.140625" style="1"/>
    <col min="12812" max="12812" width="18.7109375" style="1" customWidth="1"/>
    <col min="12813" max="12819" width="13.140625" style="1" customWidth="1"/>
    <col min="12820" max="13056" width="9.140625" style="1"/>
    <col min="13057" max="13057" width="7.140625" style="1" customWidth="1"/>
    <col min="13058" max="13058" width="6" style="1" customWidth="1"/>
    <col min="13059" max="13059" width="12.5703125" style="1" customWidth="1"/>
    <col min="13060" max="13060" width="9.7109375" style="1" bestFit="1" customWidth="1"/>
    <col min="13061" max="13061" width="8.7109375" style="1" customWidth="1"/>
    <col min="13062" max="13062" width="9.7109375" style="1" customWidth="1"/>
    <col min="13063" max="13065" width="8" style="1" customWidth="1"/>
    <col min="13066" max="13066" width="10.140625" style="1" customWidth="1"/>
    <col min="13067" max="13067" width="9.140625" style="1"/>
    <col min="13068" max="13068" width="18.7109375" style="1" customWidth="1"/>
    <col min="13069" max="13075" width="13.140625" style="1" customWidth="1"/>
    <col min="13076" max="13312" width="9.140625" style="1"/>
    <col min="13313" max="13313" width="7.140625" style="1" customWidth="1"/>
    <col min="13314" max="13314" width="6" style="1" customWidth="1"/>
    <col min="13315" max="13315" width="12.5703125" style="1" customWidth="1"/>
    <col min="13316" max="13316" width="9.7109375" style="1" bestFit="1" customWidth="1"/>
    <col min="13317" max="13317" width="8.7109375" style="1" customWidth="1"/>
    <col min="13318" max="13318" width="9.7109375" style="1" customWidth="1"/>
    <col min="13319" max="13321" width="8" style="1" customWidth="1"/>
    <col min="13322" max="13322" width="10.140625" style="1" customWidth="1"/>
    <col min="13323" max="13323" width="9.140625" style="1"/>
    <col min="13324" max="13324" width="18.7109375" style="1" customWidth="1"/>
    <col min="13325" max="13331" width="13.140625" style="1" customWidth="1"/>
    <col min="13332" max="13568" width="9.140625" style="1"/>
    <col min="13569" max="13569" width="7.140625" style="1" customWidth="1"/>
    <col min="13570" max="13570" width="6" style="1" customWidth="1"/>
    <col min="13571" max="13571" width="12.5703125" style="1" customWidth="1"/>
    <col min="13572" max="13572" width="9.7109375" style="1" bestFit="1" customWidth="1"/>
    <col min="13573" max="13573" width="8.7109375" style="1" customWidth="1"/>
    <col min="13574" max="13574" width="9.7109375" style="1" customWidth="1"/>
    <col min="13575" max="13577" width="8" style="1" customWidth="1"/>
    <col min="13578" max="13578" width="10.140625" style="1" customWidth="1"/>
    <col min="13579" max="13579" width="9.140625" style="1"/>
    <col min="13580" max="13580" width="18.7109375" style="1" customWidth="1"/>
    <col min="13581" max="13587" width="13.140625" style="1" customWidth="1"/>
    <col min="13588" max="13824" width="9.140625" style="1"/>
    <col min="13825" max="13825" width="7.140625" style="1" customWidth="1"/>
    <col min="13826" max="13826" width="6" style="1" customWidth="1"/>
    <col min="13827" max="13827" width="12.5703125" style="1" customWidth="1"/>
    <col min="13828" max="13828" width="9.7109375" style="1" bestFit="1" customWidth="1"/>
    <col min="13829" max="13829" width="8.7109375" style="1" customWidth="1"/>
    <col min="13830" max="13830" width="9.7109375" style="1" customWidth="1"/>
    <col min="13831" max="13833" width="8" style="1" customWidth="1"/>
    <col min="13834" max="13834" width="10.140625" style="1" customWidth="1"/>
    <col min="13835" max="13835" width="9.140625" style="1"/>
    <col min="13836" max="13836" width="18.7109375" style="1" customWidth="1"/>
    <col min="13837" max="13843" width="13.140625" style="1" customWidth="1"/>
    <col min="13844" max="14080" width="9.140625" style="1"/>
    <col min="14081" max="14081" width="7.140625" style="1" customWidth="1"/>
    <col min="14082" max="14082" width="6" style="1" customWidth="1"/>
    <col min="14083" max="14083" width="12.5703125" style="1" customWidth="1"/>
    <col min="14084" max="14084" width="9.7109375" style="1" bestFit="1" customWidth="1"/>
    <col min="14085" max="14085" width="8.7109375" style="1" customWidth="1"/>
    <col min="14086" max="14086" width="9.7109375" style="1" customWidth="1"/>
    <col min="14087" max="14089" width="8" style="1" customWidth="1"/>
    <col min="14090" max="14090" width="10.140625" style="1" customWidth="1"/>
    <col min="14091" max="14091" width="9.140625" style="1"/>
    <col min="14092" max="14092" width="18.7109375" style="1" customWidth="1"/>
    <col min="14093" max="14099" width="13.140625" style="1" customWidth="1"/>
    <col min="14100" max="14336" width="9.140625" style="1"/>
    <col min="14337" max="14337" width="7.140625" style="1" customWidth="1"/>
    <col min="14338" max="14338" width="6" style="1" customWidth="1"/>
    <col min="14339" max="14339" width="12.5703125" style="1" customWidth="1"/>
    <col min="14340" max="14340" width="9.7109375" style="1" bestFit="1" customWidth="1"/>
    <col min="14341" max="14341" width="8.7109375" style="1" customWidth="1"/>
    <col min="14342" max="14342" width="9.7109375" style="1" customWidth="1"/>
    <col min="14343" max="14345" width="8" style="1" customWidth="1"/>
    <col min="14346" max="14346" width="10.140625" style="1" customWidth="1"/>
    <col min="14347" max="14347" width="9.140625" style="1"/>
    <col min="14348" max="14348" width="18.7109375" style="1" customWidth="1"/>
    <col min="14349" max="14355" width="13.140625" style="1" customWidth="1"/>
    <col min="14356" max="14592" width="9.140625" style="1"/>
    <col min="14593" max="14593" width="7.140625" style="1" customWidth="1"/>
    <col min="14594" max="14594" width="6" style="1" customWidth="1"/>
    <col min="14595" max="14595" width="12.5703125" style="1" customWidth="1"/>
    <col min="14596" max="14596" width="9.7109375" style="1" bestFit="1" customWidth="1"/>
    <col min="14597" max="14597" width="8.7109375" style="1" customWidth="1"/>
    <col min="14598" max="14598" width="9.7109375" style="1" customWidth="1"/>
    <col min="14599" max="14601" width="8" style="1" customWidth="1"/>
    <col min="14602" max="14602" width="10.140625" style="1" customWidth="1"/>
    <col min="14603" max="14603" width="9.140625" style="1"/>
    <col min="14604" max="14604" width="18.7109375" style="1" customWidth="1"/>
    <col min="14605" max="14611" width="13.140625" style="1" customWidth="1"/>
    <col min="14612" max="14848" width="9.140625" style="1"/>
    <col min="14849" max="14849" width="7.140625" style="1" customWidth="1"/>
    <col min="14850" max="14850" width="6" style="1" customWidth="1"/>
    <col min="14851" max="14851" width="12.5703125" style="1" customWidth="1"/>
    <col min="14852" max="14852" width="9.7109375" style="1" bestFit="1" customWidth="1"/>
    <col min="14853" max="14853" width="8.7109375" style="1" customWidth="1"/>
    <col min="14854" max="14854" width="9.7109375" style="1" customWidth="1"/>
    <col min="14855" max="14857" width="8" style="1" customWidth="1"/>
    <col min="14858" max="14858" width="10.140625" style="1" customWidth="1"/>
    <col min="14859" max="14859" width="9.140625" style="1"/>
    <col min="14860" max="14860" width="18.7109375" style="1" customWidth="1"/>
    <col min="14861" max="14867" width="13.140625" style="1" customWidth="1"/>
    <col min="14868" max="15104" width="9.140625" style="1"/>
    <col min="15105" max="15105" width="7.140625" style="1" customWidth="1"/>
    <col min="15106" max="15106" width="6" style="1" customWidth="1"/>
    <col min="15107" max="15107" width="12.5703125" style="1" customWidth="1"/>
    <col min="15108" max="15108" width="9.7109375" style="1" bestFit="1" customWidth="1"/>
    <col min="15109" max="15109" width="8.7109375" style="1" customWidth="1"/>
    <col min="15110" max="15110" width="9.7109375" style="1" customWidth="1"/>
    <col min="15111" max="15113" width="8" style="1" customWidth="1"/>
    <col min="15114" max="15114" width="10.140625" style="1" customWidth="1"/>
    <col min="15115" max="15115" width="9.140625" style="1"/>
    <col min="15116" max="15116" width="18.7109375" style="1" customWidth="1"/>
    <col min="15117" max="15123" width="13.140625" style="1" customWidth="1"/>
    <col min="15124" max="15360" width="9.140625" style="1"/>
    <col min="15361" max="15361" width="7.140625" style="1" customWidth="1"/>
    <col min="15362" max="15362" width="6" style="1" customWidth="1"/>
    <col min="15363" max="15363" width="12.5703125" style="1" customWidth="1"/>
    <col min="15364" max="15364" width="9.7109375" style="1" bestFit="1" customWidth="1"/>
    <col min="15365" max="15365" width="8.7109375" style="1" customWidth="1"/>
    <col min="15366" max="15366" width="9.7109375" style="1" customWidth="1"/>
    <col min="15367" max="15369" width="8" style="1" customWidth="1"/>
    <col min="15370" max="15370" width="10.140625" style="1" customWidth="1"/>
    <col min="15371" max="15371" width="9.140625" style="1"/>
    <col min="15372" max="15372" width="18.7109375" style="1" customWidth="1"/>
    <col min="15373" max="15379" width="13.140625" style="1" customWidth="1"/>
    <col min="15380" max="15616" width="9.140625" style="1"/>
    <col min="15617" max="15617" width="7.140625" style="1" customWidth="1"/>
    <col min="15618" max="15618" width="6" style="1" customWidth="1"/>
    <col min="15619" max="15619" width="12.5703125" style="1" customWidth="1"/>
    <col min="15620" max="15620" width="9.7109375" style="1" bestFit="1" customWidth="1"/>
    <col min="15621" max="15621" width="8.7109375" style="1" customWidth="1"/>
    <col min="15622" max="15622" width="9.7109375" style="1" customWidth="1"/>
    <col min="15623" max="15625" width="8" style="1" customWidth="1"/>
    <col min="15626" max="15626" width="10.140625" style="1" customWidth="1"/>
    <col min="15627" max="15627" width="9.140625" style="1"/>
    <col min="15628" max="15628" width="18.7109375" style="1" customWidth="1"/>
    <col min="15629" max="15635" width="13.140625" style="1" customWidth="1"/>
    <col min="15636" max="15872" width="9.140625" style="1"/>
    <col min="15873" max="15873" width="7.140625" style="1" customWidth="1"/>
    <col min="15874" max="15874" width="6" style="1" customWidth="1"/>
    <col min="15875" max="15875" width="12.5703125" style="1" customWidth="1"/>
    <col min="15876" max="15876" width="9.7109375" style="1" bestFit="1" customWidth="1"/>
    <col min="15877" max="15877" width="8.7109375" style="1" customWidth="1"/>
    <col min="15878" max="15878" width="9.7109375" style="1" customWidth="1"/>
    <col min="15879" max="15881" width="8" style="1" customWidth="1"/>
    <col min="15882" max="15882" width="10.140625" style="1" customWidth="1"/>
    <col min="15883" max="15883" width="9.140625" style="1"/>
    <col min="15884" max="15884" width="18.7109375" style="1" customWidth="1"/>
    <col min="15885" max="15891" width="13.140625" style="1" customWidth="1"/>
    <col min="15892" max="16128" width="9.140625" style="1"/>
    <col min="16129" max="16129" width="7.140625" style="1" customWidth="1"/>
    <col min="16130" max="16130" width="6" style="1" customWidth="1"/>
    <col min="16131" max="16131" width="12.5703125" style="1" customWidth="1"/>
    <col min="16132" max="16132" width="9.7109375" style="1" bestFit="1" customWidth="1"/>
    <col min="16133" max="16133" width="8.7109375" style="1" customWidth="1"/>
    <col min="16134" max="16134" width="9.7109375" style="1" customWidth="1"/>
    <col min="16135" max="16137" width="8" style="1" customWidth="1"/>
    <col min="16138" max="16138" width="10.140625" style="1" customWidth="1"/>
    <col min="16139" max="16139" width="9.140625" style="1"/>
    <col min="16140" max="16140" width="18.7109375" style="1" customWidth="1"/>
    <col min="16141" max="16147" width="13.140625" style="1" customWidth="1"/>
    <col min="16148" max="16384" width="9.140625" style="1"/>
  </cols>
  <sheetData>
    <row r="1" spans="1:19">
      <c r="G1" s="141" t="s">
        <v>0</v>
      </c>
      <c r="H1" s="141"/>
      <c r="I1" s="141"/>
      <c r="J1" s="141"/>
      <c r="K1" s="141"/>
      <c r="L1" s="141"/>
    </row>
    <row r="2" spans="1:19">
      <c r="A2" s="3"/>
      <c r="B2" s="3"/>
      <c r="C2" s="4" t="s">
        <v>1</v>
      </c>
      <c r="D2" s="4"/>
      <c r="E2" s="3"/>
      <c r="F2" s="5" t="s">
        <v>2</v>
      </c>
      <c r="G2" s="3"/>
      <c r="H2" s="3"/>
      <c r="I2" s="6" t="s">
        <v>3</v>
      </c>
      <c r="J2" s="3"/>
      <c r="K2" s="6"/>
      <c r="L2" s="6"/>
      <c r="M2" s="7" t="s">
        <v>4</v>
      </c>
      <c r="N2" s="7"/>
      <c r="O2" s="7"/>
      <c r="P2" s="7" t="s">
        <v>76</v>
      </c>
      <c r="Q2" s="120"/>
      <c r="R2" s="120"/>
      <c r="S2" s="120"/>
    </row>
    <row r="3" spans="1:19">
      <c r="A3" s="3"/>
      <c r="B3" s="3"/>
      <c r="C3" s="4"/>
      <c r="D3" s="4"/>
      <c r="E3" s="3"/>
      <c r="F3" s="3"/>
      <c r="G3" s="3"/>
      <c r="H3" s="3"/>
      <c r="I3" s="3"/>
      <c r="J3" s="3"/>
      <c r="K3" s="3"/>
      <c r="L3" s="3"/>
      <c r="M3" s="7"/>
      <c r="N3" s="7"/>
      <c r="O3" s="7"/>
      <c r="P3" s="7"/>
      <c r="Q3" s="7"/>
      <c r="R3" s="7"/>
      <c r="S3" s="7"/>
    </row>
    <row r="4" spans="1:19" ht="21.75" customHeight="1">
      <c r="A4" s="142" t="s">
        <v>5</v>
      </c>
      <c r="B4" s="142" t="s">
        <v>6</v>
      </c>
      <c r="C4" s="142" t="s">
        <v>7</v>
      </c>
      <c r="D4" s="143" t="s">
        <v>8</v>
      </c>
      <c r="E4" s="143" t="s">
        <v>9</v>
      </c>
      <c r="F4" s="143" t="s">
        <v>10</v>
      </c>
      <c r="G4" s="143" t="s">
        <v>11</v>
      </c>
      <c r="H4" s="143"/>
      <c r="I4" s="143"/>
      <c r="J4" s="142" t="s">
        <v>12</v>
      </c>
      <c r="K4" s="142" t="s">
        <v>13</v>
      </c>
      <c r="L4" s="143" t="s">
        <v>14</v>
      </c>
      <c r="M4" s="143" t="s">
        <v>15</v>
      </c>
      <c r="N4" s="143"/>
      <c r="O4" s="143"/>
      <c r="P4" s="143"/>
      <c r="Q4" s="143"/>
      <c r="R4" s="143"/>
      <c r="S4" s="143"/>
    </row>
    <row r="5" spans="1:19" ht="27.75" customHeight="1">
      <c r="A5" s="142"/>
      <c r="B5" s="142"/>
      <c r="C5" s="142"/>
      <c r="D5" s="143"/>
      <c r="E5" s="143"/>
      <c r="F5" s="143"/>
      <c r="G5" s="8" t="s">
        <v>16</v>
      </c>
      <c r="H5" s="8" t="s">
        <v>17</v>
      </c>
      <c r="I5" s="8" t="s">
        <v>18</v>
      </c>
      <c r="J5" s="142"/>
      <c r="K5" s="142"/>
      <c r="L5" s="143"/>
      <c r="M5" s="143"/>
      <c r="N5" s="143"/>
      <c r="O5" s="143"/>
      <c r="P5" s="143"/>
      <c r="Q5" s="143"/>
      <c r="R5" s="143"/>
      <c r="S5" s="143"/>
    </row>
    <row r="6" spans="1:19" s="16" customFormat="1" ht="21" customHeight="1">
      <c r="A6" s="9">
        <v>1</v>
      </c>
      <c r="B6" s="144" t="s">
        <v>19</v>
      </c>
      <c r="C6" s="146" t="s">
        <v>20</v>
      </c>
      <c r="D6" s="10">
        <v>1</v>
      </c>
      <c r="E6" s="11">
        <v>4218</v>
      </c>
      <c r="F6" s="12">
        <f>VLOOKUP(E6,ддд,2,FALSE)</f>
        <v>13</v>
      </c>
      <c r="G6" s="12">
        <f>VLOOKUP(E6,ддд,3,FALSE)</f>
        <v>20</v>
      </c>
      <c r="H6" s="12">
        <f>VLOOKUP(E6,ддд,4,FALSE)</f>
        <v>75</v>
      </c>
      <c r="I6" s="12">
        <f>VLOOKUP(E6,ддд,5,FALSE)</f>
        <v>4.1950000000000003</v>
      </c>
      <c r="J6" s="9"/>
      <c r="K6" s="9"/>
      <c r="L6" s="9"/>
      <c r="M6" s="13" t="s">
        <v>21</v>
      </c>
      <c r="N6" s="14"/>
      <c r="O6" s="17" t="s">
        <v>23</v>
      </c>
      <c r="P6" s="14"/>
      <c r="Q6" s="14" t="s">
        <v>67</v>
      </c>
      <c r="R6" s="14"/>
      <c r="S6" s="15"/>
    </row>
    <row r="7" spans="1:19" s="16" customFormat="1" ht="21" customHeight="1" thickBot="1">
      <c r="A7" s="9">
        <v>2</v>
      </c>
      <c r="B7" s="145"/>
      <c r="C7" s="147"/>
      <c r="D7" s="10">
        <v>2</v>
      </c>
      <c r="E7" s="11">
        <v>7108</v>
      </c>
      <c r="F7" s="12">
        <f t="shared" ref="F7:F65" si="0">VLOOKUP(E7,ддд,2,FALSE)</f>
        <v>16</v>
      </c>
      <c r="G7" s="12">
        <f t="shared" ref="G7:G43" si="1">VLOOKUP(E7,ддд,3,FALSE)</f>
        <v>75</v>
      </c>
      <c r="H7" s="12">
        <f t="shared" ref="H7:H43" si="2">VLOOKUP(E7,ддд,4,FALSE)</f>
        <v>92</v>
      </c>
      <c r="I7" s="12">
        <f t="shared" ref="I7:I43" si="3">VLOOKUP(E7,ддд,5,FALSE)</f>
        <v>5.0339999999999998</v>
      </c>
      <c r="J7" s="9"/>
      <c r="K7" s="9"/>
      <c r="L7" s="9"/>
      <c r="M7" s="14" t="s">
        <v>22</v>
      </c>
      <c r="N7" s="18"/>
      <c r="O7" s="18" t="s">
        <v>68</v>
      </c>
      <c r="P7" s="18"/>
      <c r="Q7" s="18" t="s">
        <v>69</v>
      </c>
      <c r="R7" s="18"/>
      <c r="S7" s="19"/>
    </row>
    <row r="8" spans="1:19" s="16" customFormat="1" ht="21" customHeight="1">
      <c r="A8" s="9">
        <v>3</v>
      </c>
      <c r="B8" s="145"/>
      <c r="C8" s="147"/>
      <c r="D8" s="10">
        <v>3</v>
      </c>
      <c r="E8" s="11">
        <v>9797</v>
      </c>
      <c r="F8" s="12">
        <f t="shared" si="0"/>
        <v>15</v>
      </c>
      <c r="G8" s="12">
        <f t="shared" si="1"/>
        <v>40</v>
      </c>
      <c r="H8" s="12">
        <f t="shared" si="2"/>
        <v>85</v>
      </c>
      <c r="I8" s="12">
        <f t="shared" si="3"/>
        <v>5.0339999999999998</v>
      </c>
      <c r="J8" s="9"/>
      <c r="K8" s="9"/>
      <c r="L8" s="20"/>
      <c r="M8" s="148" t="s">
        <v>24</v>
      </c>
      <c r="N8" s="149"/>
      <c r="O8" s="149"/>
      <c r="P8" s="149"/>
      <c r="Q8" s="149"/>
      <c r="R8" s="149"/>
      <c r="S8" s="150"/>
    </row>
    <row r="9" spans="1:19" s="16" customFormat="1" ht="21" customHeight="1">
      <c r="A9" s="9">
        <v>4</v>
      </c>
      <c r="B9" s="145"/>
      <c r="C9" s="147"/>
      <c r="D9" s="10">
        <v>5</v>
      </c>
      <c r="E9" s="11">
        <v>4774</v>
      </c>
      <c r="F9" s="12">
        <f t="shared" si="0"/>
        <v>15</v>
      </c>
      <c r="G9" s="12">
        <f t="shared" si="1"/>
        <v>35</v>
      </c>
      <c r="H9" s="12">
        <f t="shared" si="2"/>
        <v>85</v>
      </c>
      <c r="I9" s="12">
        <f t="shared" si="3"/>
        <v>4.4047499999999999</v>
      </c>
      <c r="J9" s="9"/>
      <c r="K9" s="9"/>
      <c r="L9" s="20"/>
      <c r="M9" s="111" t="s">
        <v>72</v>
      </c>
      <c r="N9" s="112" t="s">
        <v>73</v>
      </c>
      <c r="O9" s="113"/>
      <c r="P9" s="111" t="s">
        <v>72</v>
      </c>
      <c r="Q9" s="112" t="s">
        <v>73</v>
      </c>
      <c r="R9" s="112"/>
      <c r="S9" s="114"/>
    </row>
    <row r="10" spans="1:19" s="16" customFormat="1" ht="21" customHeight="1">
      <c r="A10" s="9">
        <v>5</v>
      </c>
      <c r="B10" s="145"/>
      <c r="C10" s="147"/>
      <c r="D10" s="10">
        <v>6</v>
      </c>
      <c r="E10" s="11">
        <v>8361</v>
      </c>
      <c r="F10" s="12">
        <f t="shared" si="0"/>
        <v>16</v>
      </c>
      <c r="G10" s="12">
        <f t="shared" si="1"/>
        <v>125</v>
      </c>
      <c r="H10" s="12">
        <f t="shared" si="2"/>
        <v>94</v>
      </c>
      <c r="I10" s="12">
        <f t="shared" si="3"/>
        <v>6.2925000000000004</v>
      </c>
      <c r="J10" s="9"/>
      <c r="K10" s="9"/>
      <c r="L10" s="20"/>
      <c r="M10" s="21"/>
      <c r="N10" s="22"/>
      <c r="O10" s="23"/>
      <c r="P10" s="22"/>
      <c r="Q10" s="22"/>
      <c r="R10" s="22"/>
      <c r="S10" s="24"/>
    </row>
    <row r="11" spans="1:19" s="16" customFormat="1" ht="21" customHeight="1">
      <c r="A11" s="9">
        <v>6</v>
      </c>
      <c r="B11" s="145"/>
      <c r="C11" s="147"/>
      <c r="D11" s="10">
        <v>7</v>
      </c>
      <c r="E11" s="11">
        <v>9731</v>
      </c>
      <c r="F11" s="12">
        <f t="shared" si="0"/>
        <v>15</v>
      </c>
      <c r="G11" s="12">
        <f t="shared" si="1"/>
        <v>45</v>
      </c>
      <c r="H11" s="12">
        <f t="shared" si="2"/>
        <v>90</v>
      </c>
      <c r="I11" s="12">
        <f t="shared" si="3"/>
        <v>3.7755000000000001</v>
      </c>
      <c r="J11" s="9"/>
      <c r="K11" s="9"/>
      <c r="L11" s="20"/>
      <c r="M11" s="21"/>
      <c r="N11" s="22"/>
      <c r="O11" s="23"/>
      <c r="P11" s="22"/>
      <c r="Q11" s="22"/>
      <c r="R11" s="22"/>
      <c r="S11" s="24"/>
    </row>
    <row r="12" spans="1:19" s="16" customFormat="1" ht="21" customHeight="1">
      <c r="A12" s="9">
        <v>7</v>
      </c>
      <c r="B12" s="145"/>
      <c r="C12" s="147"/>
      <c r="D12" s="10">
        <v>8</v>
      </c>
      <c r="E12" s="11">
        <v>7958</v>
      </c>
      <c r="F12" s="12" t="str">
        <f t="shared" si="0"/>
        <v>15/16</v>
      </c>
      <c r="G12" s="12">
        <f t="shared" si="1"/>
        <v>35</v>
      </c>
      <c r="H12" s="12">
        <f t="shared" si="2"/>
        <v>92</v>
      </c>
      <c r="I12" s="12">
        <f t="shared" si="3"/>
        <v>2.3491999999999997</v>
      </c>
      <c r="J12" s="9"/>
      <c r="K12" s="9"/>
      <c r="L12" s="20"/>
      <c r="M12" s="21"/>
      <c r="N12" s="22"/>
      <c r="O12" s="23"/>
      <c r="P12" s="22"/>
      <c r="Q12" s="22"/>
      <c r="R12" s="22"/>
      <c r="S12" s="24"/>
    </row>
    <row r="13" spans="1:19" s="16" customFormat="1" ht="21" customHeight="1">
      <c r="A13" s="9">
        <v>8</v>
      </c>
      <c r="B13" s="145"/>
      <c r="C13" s="147"/>
      <c r="D13" s="10">
        <v>9</v>
      </c>
      <c r="E13" s="11">
        <v>5292</v>
      </c>
      <c r="F13" s="12">
        <f t="shared" si="0"/>
        <v>14</v>
      </c>
      <c r="G13" s="12">
        <f t="shared" si="1"/>
        <v>30</v>
      </c>
      <c r="H13" s="12">
        <f t="shared" si="2"/>
        <v>92</v>
      </c>
      <c r="I13" s="12">
        <f t="shared" si="3"/>
        <v>2.0135999999999998</v>
      </c>
      <c r="J13" s="9"/>
      <c r="K13" s="9"/>
      <c r="L13" s="20"/>
      <c r="M13" s="21"/>
      <c r="N13" s="22"/>
      <c r="O13" s="23"/>
      <c r="P13" s="22"/>
      <c r="Q13" s="22"/>
      <c r="R13" s="22"/>
      <c r="S13" s="24"/>
    </row>
    <row r="14" spans="1:19" s="16" customFormat="1" ht="21" customHeight="1">
      <c r="A14" s="9">
        <v>9</v>
      </c>
      <c r="B14" s="145"/>
      <c r="C14" s="147"/>
      <c r="D14" s="10">
        <v>10</v>
      </c>
      <c r="E14" s="11">
        <v>2118</v>
      </c>
      <c r="F14" s="12">
        <f t="shared" si="0"/>
        <v>13</v>
      </c>
      <c r="G14" s="12">
        <f t="shared" si="1"/>
        <v>70</v>
      </c>
      <c r="H14" s="12">
        <f t="shared" si="2"/>
        <v>94</v>
      </c>
      <c r="I14" s="12">
        <f t="shared" si="3"/>
        <v>3.5238</v>
      </c>
      <c r="J14" s="9"/>
      <c r="K14" s="9"/>
      <c r="L14" s="20"/>
      <c r="M14" s="21"/>
      <c r="N14" s="22"/>
      <c r="O14" s="23"/>
      <c r="P14" s="22"/>
      <c r="Q14" s="22"/>
      <c r="R14" s="22"/>
      <c r="S14" s="24"/>
    </row>
    <row r="15" spans="1:19" s="16" customFormat="1" ht="21" customHeight="1">
      <c r="A15" s="9">
        <v>10</v>
      </c>
      <c r="B15" s="145"/>
      <c r="C15" s="147"/>
      <c r="D15" s="10">
        <v>11</v>
      </c>
      <c r="E15" s="11">
        <v>8638</v>
      </c>
      <c r="F15" s="12">
        <v>15</v>
      </c>
      <c r="G15" s="12">
        <v>40</v>
      </c>
      <c r="H15" s="12">
        <v>85</v>
      </c>
      <c r="I15" s="12">
        <v>5.0339999999999998</v>
      </c>
      <c r="J15" s="9"/>
      <c r="K15" s="9"/>
      <c r="L15" s="20"/>
      <c r="M15" s="21"/>
      <c r="N15" s="22"/>
      <c r="O15" s="23"/>
      <c r="P15" s="22"/>
      <c r="Q15" s="22"/>
      <c r="R15" s="22"/>
      <c r="S15" s="24"/>
    </row>
    <row r="16" spans="1:19" s="16" customFormat="1" ht="21" customHeight="1" thickBot="1">
      <c r="A16" s="9">
        <v>11</v>
      </c>
      <c r="B16" s="145"/>
      <c r="C16" s="147"/>
      <c r="D16" s="10">
        <v>12</v>
      </c>
      <c r="E16" s="11">
        <v>9641</v>
      </c>
      <c r="F16" s="12">
        <f t="shared" si="0"/>
        <v>14</v>
      </c>
      <c r="G16" s="12">
        <f t="shared" si="1"/>
        <v>40</v>
      </c>
      <c r="H16" s="12">
        <f t="shared" si="2"/>
        <v>85</v>
      </c>
      <c r="I16" s="12">
        <f t="shared" si="3"/>
        <v>5.0339999999999998</v>
      </c>
      <c r="J16" s="9"/>
      <c r="K16" s="9"/>
      <c r="L16" s="20"/>
      <c r="M16" s="110"/>
      <c r="N16" s="22"/>
      <c r="O16" s="23"/>
      <c r="P16" s="22"/>
      <c r="Q16" s="22"/>
      <c r="R16" s="22"/>
      <c r="S16" s="24"/>
    </row>
    <row r="17" spans="1:19" s="16" customFormat="1" ht="21" customHeight="1">
      <c r="A17" s="9">
        <v>12</v>
      </c>
      <c r="B17" s="145"/>
      <c r="C17" s="147"/>
      <c r="D17" s="10">
        <v>13</v>
      </c>
      <c r="E17" s="11">
        <v>4857</v>
      </c>
      <c r="F17" s="12">
        <f t="shared" si="0"/>
        <v>14</v>
      </c>
      <c r="G17" s="12">
        <f t="shared" si="1"/>
        <v>70</v>
      </c>
      <c r="H17" s="12">
        <f t="shared" si="2"/>
        <v>93</v>
      </c>
      <c r="I17" s="12">
        <f t="shared" si="3"/>
        <v>4.1110999999999995</v>
      </c>
      <c r="J17" s="9"/>
      <c r="K17" s="9"/>
      <c r="L17" s="20"/>
      <c r="M17" s="151" t="s">
        <v>25</v>
      </c>
      <c r="N17" s="152"/>
      <c r="O17" s="152"/>
      <c r="P17" s="152"/>
      <c r="Q17" s="152"/>
      <c r="R17" s="152"/>
      <c r="S17" s="153"/>
    </row>
    <row r="18" spans="1:19" s="16" customFormat="1" ht="21" customHeight="1">
      <c r="A18" s="9">
        <v>13</v>
      </c>
      <c r="B18" s="145"/>
      <c r="C18" s="147"/>
      <c r="D18" s="10">
        <v>14</v>
      </c>
      <c r="E18" s="11">
        <v>5672</v>
      </c>
      <c r="F18" s="12">
        <f t="shared" si="0"/>
        <v>15</v>
      </c>
      <c r="G18" s="12">
        <f t="shared" si="1"/>
        <v>30</v>
      </c>
      <c r="H18" s="12">
        <f t="shared" si="2"/>
        <v>92</v>
      </c>
      <c r="I18" s="12">
        <f t="shared" si="3"/>
        <v>2.0135999999999998</v>
      </c>
      <c r="J18" s="9"/>
      <c r="K18" s="9"/>
      <c r="L18" s="20"/>
      <c r="M18" s="25" t="s">
        <v>72</v>
      </c>
      <c r="N18" s="26" t="s">
        <v>26</v>
      </c>
      <c r="O18" s="27" t="s">
        <v>27</v>
      </c>
      <c r="P18" s="115" t="s">
        <v>72</v>
      </c>
      <c r="Q18" s="26" t="s">
        <v>26</v>
      </c>
      <c r="R18" s="28" t="s">
        <v>27</v>
      </c>
      <c r="S18" s="28"/>
    </row>
    <row r="19" spans="1:19" s="16" customFormat="1" ht="26.25" customHeight="1">
      <c r="A19" s="9">
        <v>14</v>
      </c>
      <c r="B19" s="145"/>
      <c r="C19" s="146" t="s">
        <v>28</v>
      </c>
      <c r="D19" s="10">
        <v>1</v>
      </c>
      <c r="E19" s="11">
        <v>7482</v>
      </c>
      <c r="F19" s="12">
        <f t="shared" si="0"/>
        <v>15</v>
      </c>
      <c r="G19" s="12">
        <f t="shared" si="1"/>
        <v>5</v>
      </c>
      <c r="H19" s="12">
        <f t="shared" si="2"/>
        <v>80</v>
      </c>
      <c r="I19" s="12">
        <f t="shared" si="3"/>
        <v>0.83899999999999997</v>
      </c>
      <c r="J19" s="9"/>
      <c r="K19" s="9"/>
      <c r="L19" s="20"/>
      <c r="M19" s="29"/>
      <c r="O19" s="30"/>
      <c r="P19" s="31"/>
      <c r="Q19" s="30"/>
      <c r="R19" s="30"/>
      <c r="S19" s="32"/>
    </row>
    <row r="20" spans="1:19" s="16" customFormat="1" ht="21" customHeight="1">
      <c r="A20" s="9">
        <v>15</v>
      </c>
      <c r="B20" s="145"/>
      <c r="C20" s="147"/>
      <c r="D20" s="10">
        <v>2</v>
      </c>
      <c r="E20" s="11">
        <v>5719</v>
      </c>
      <c r="F20" s="12">
        <f t="shared" si="0"/>
        <v>14</v>
      </c>
      <c r="G20" s="12">
        <f t="shared" si="1"/>
        <v>50</v>
      </c>
      <c r="H20" s="12">
        <f t="shared" si="2"/>
        <v>90</v>
      </c>
      <c r="I20" s="12">
        <f t="shared" si="3"/>
        <v>4.1950000000000003</v>
      </c>
      <c r="J20" s="9"/>
      <c r="K20" s="9"/>
      <c r="L20" s="20"/>
      <c r="M20" s="29"/>
      <c r="N20" s="30"/>
      <c r="O20" s="30"/>
      <c r="P20" s="31"/>
      <c r="Q20" s="30"/>
      <c r="R20" s="30"/>
      <c r="S20" s="32"/>
    </row>
    <row r="21" spans="1:19" s="16" customFormat="1" ht="21" customHeight="1">
      <c r="A21" s="9">
        <v>16</v>
      </c>
      <c r="B21" s="145"/>
      <c r="C21" s="147"/>
      <c r="D21" s="10">
        <v>3</v>
      </c>
      <c r="E21" s="11">
        <v>8235</v>
      </c>
      <c r="F21" s="12">
        <v>14</v>
      </c>
      <c r="G21" s="12">
        <f t="shared" ref="G21:G36" si="4">VLOOKUP(E21,ддд,3,FALSE)</f>
        <v>10</v>
      </c>
      <c r="H21" s="12">
        <f t="shared" ref="H21:H36" si="5">VLOOKUP(E21,ддд,4,FALSE)</f>
        <v>50</v>
      </c>
      <c r="I21" s="12">
        <f t="shared" ref="I21:I36" si="6">VLOOKUP(E21,ддд,5,FALSE)</f>
        <v>4.1950000000000003</v>
      </c>
      <c r="J21" s="9"/>
      <c r="K21" s="9"/>
      <c r="L21" s="20"/>
      <c r="M21" s="29"/>
      <c r="N21" s="30"/>
      <c r="O21" s="30"/>
      <c r="P21" s="31"/>
      <c r="Q21" s="30"/>
      <c r="R21" s="30"/>
      <c r="S21" s="32"/>
    </row>
    <row r="22" spans="1:19" s="16" customFormat="1" ht="21" customHeight="1">
      <c r="A22" s="9">
        <v>17</v>
      </c>
      <c r="B22" s="145"/>
      <c r="C22" s="147"/>
      <c r="D22" s="10">
        <v>4</v>
      </c>
      <c r="E22" s="11">
        <v>2119</v>
      </c>
      <c r="F22" s="12">
        <f t="shared" si="0"/>
        <v>13</v>
      </c>
      <c r="G22" s="12">
        <f t="shared" si="4"/>
        <v>35</v>
      </c>
      <c r="H22" s="12">
        <f t="shared" si="5"/>
        <v>93</v>
      </c>
      <c r="I22" s="12">
        <f t="shared" si="6"/>
        <v>2.0555499999999998</v>
      </c>
      <c r="J22" s="9"/>
      <c r="K22" s="9"/>
      <c r="L22" s="20"/>
      <c r="M22" s="29"/>
      <c r="N22" s="30"/>
      <c r="O22" s="30"/>
      <c r="P22" s="31"/>
      <c r="Q22" s="30"/>
      <c r="R22" s="30"/>
      <c r="S22" s="32"/>
    </row>
    <row r="23" spans="1:19" s="16" customFormat="1" ht="21" customHeight="1">
      <c r="A23" s="9">
        <v>18</v>
      </c>
      <c r="B23" s="145"/>
      <c r="C23" s="147"/>
      <c r="D23" s="10">
        <v>5</v>
      </c>
      <c r="E23" s="11">
        <v>7546</v>
      </c>
      <c r="F23" s="12">
        <f t="shared" si="0"/>
        <v>13</v>
      </c>
      <c r="G23" s="12">
        <f t="shared" si="4"/>
        <v>40</v>
      </c>
      <c r="H23" s="12">
        <f t="shared" si="5"/>
        <v>93</v>
      </c>
      <c r="I23" s="12">
        <f t="shared" si="6"/>
        <v>2.3491999999999997</v>
      </c>
      <c r="J23" s="9"/>
      <c r="K23" s="9"/>
      <c r="L23" s="20"/>
      <c r="M23" s="29"/>
      <c r="N23" s="30"/>
      <c r="O23" s="30"/>
      <c r="P23" s="31"/>
      <c r="Q23" s="30"/>
      <c r="R23" s="30"/>
      <c r="S23" s="32"/>
    </row>
    <row r="24" spans="1:19" s="16" customFormat="1" ht="21" customHeight="1">
      <c r="A24" s="9">
        <v>19</v>
      </c>
      <c r="B24" s="145"/>
      <c r="C24" s="147"/>
      <c r="D24" s="10">
        <v>6</v>
      </c>
      <c r="E24" s="11">
        <v>8236</v>
      </c>
      <c r="F24" s="12">
        <f t="shared" si="0"/>
        <v>13</v>
      </c>
      <c r="G24" s="12">
        <f t="shared" si="4"/>
        <v>60</v>
      </c>
      <c r="H24" s="12">
        <f t="shared" si="5"/>
        <v>92</v>
      </c>
      <c r="I24" s="12">
        <f t="shared" si="6"/>
        <v>4.0271999999999997</v>
      </c>
      <c r="J24" s="9"/>
      <c r="K24" s="9"/>
      <c r="L24" s="20"/>
      <c r="M24" s="29"/>
      <c r="N24" s="31"/>
      <c r="O24" s="31"/>
      <c r="P24" s="31"/>
      <c r="Q24" s="31"/>
      <c r="R24" s="31"/>
      <c r="S24" s="33"/>
    </row>
    <row r="25" spans="1:19" s="16" customFormat="1" ht="21" customHeight="1">
      <c r="A25" s="9">
        <v>20</v>
      </c>
      <c r="B25" s="145"/>
      <c r="C25" s="147"/>
      <c r="D25" s="10">
        <v>8</v>
      </c>
      <c r="E25" s="11">
        <v>4282</v>
      </c>
      <c r="F25" s="12">
        <f t="shared" si="0"/>
        <v>14</v>
      </c>
      <c r="G25" s="12">
        <f t="shared" si="4"/>
        <v>35</v>
      </c>
      <c r="H25" s="12">
        <f t="shared" si="5"/>
        <v>90</v>
      </c>
      <c r="I25" s="12">
        <f t="shared" si="6"/>
        <v>2.9364999999999997</v>
      </c>
      <c r="J25" s="9"/>
      <c r="K25" s="9"/>
      <c r="L25" s="20"/>
      <c r="M25" s="29"/>
      <c r="N25" s="31"/>
      <c r="O25" s="31"/>
      <c r="P25" s="31"/>
      <c r="Q25" s="31"/>
      <c r="R25" s="31"/>
      <c r="S25" s="33"/>
    </row>
    <row r="26" spans="1:19" s="16" customFormat="1" ht="21" customHeight="1">
      <c r="A26" s="9">
        <v>21</v>
      </c>
      <c r="B26" s="145"/>
      <c r="C26" s="147"/>
      <c r="D26" s="34">
        <v>9</v>
      </c>
      <c r="E26" s="11">
        <v>8242</v>
      </c>
      <c r="F26" s="12">
        <f>VLOOKUP(E26,ддд,2,FALSE)</f>
        <v>13</v>
      </c>
      <c r="G26" s="12">
        <f t="shared" si="4"/>
        <v>55</v>
      </c>
      <c r="H26" s="12">
        <f t="shared" si="5"/>
        <v>94</v>
      </c>
      <c r="I26" s="12">
        <f t="shared" si="6"/>
        <v>2.7686999999999999</v>
      </c>
      <c r="J26" s="9"/>
      <c r="K26" s="9"/>
      <c r="L26" s="20"/>
      <c r="M26" s="29"/>
      <c r="N26" s="31"/>
      <c r="O26" s="31"/>
      <c r="P26" s="31"/>
      <c r="Q26" s="31"/>
      <c r="R26" s="31"/>
      <c r="S26" s="33"/>
    </row>
    <row r="27" spans="1:19" s="16" customFormat="1" ht="21" customHeight="1">
      <c r="A27" s="9">
        <v>22</v>
      </c>
      <c r="B27" s="145"/>
      <c r="C27" s="147"/>
      <c r="D27" s="34">
        <v>10</v>
      </c>
      <c r="E27" s="11">
        <v>4850</v>
      </c>
      <c r="F27" s="12">
        <f t="shared" si="0"/>
        <v>14</v>
      </c>
      <c r="G27" s="12">
        <f t="shared" si="4"/>
        <v>35</v>
      </c>
      <c r="H27" s="12">
        <f t="shared" si="5"/>
        <v>85</v>
      </c>
      <c r="I27" s="12">
        <f t="shared" si="6"/>
        <v>4.4047499999999999</v>
      </c>
      <c r="J27" s="9"/>
      <c r="K27" s="9"/>
      <c r="L27" s="20"/>
      <c r="M27" s="29"/>
      <c r="N27" s="31"/>
      <c r="O27" s="31"/>
      <c r="P27" s="31"/>
      <c r="Q27" s="31"/>
      <c r="R27" s="31"/>
      <c r="S27" s="33"/>
    </row>
    <row r="28" spans="1:19" s="16" customFormat="1" ht="21" customHeight="1">
      <c r="A28" s="9">
        <v>23</v>
      </c>
      <c r="B28" s="145"/>
      <c r="C28" s="147"/>
      <c r="D28" s="10">
        <v>11</v>
      </c>
      <c r="E28" s="11">
        <v>8938</v>
      </c>
      <c r="F28" s="12">
        <f t="shared" si="0"/>
        <v>13</v>
      </c>
      <c r="G28" s="12">
        <f t="shared" si="4"/>
        <v>70</v>
      </c>
      <c r="H28" s="12">
        <f t="shared" si="5"/>
        <v>93</v>
      </c>
      <c r="I28" s="12">
        <f t="shared" si="6"/>
        <v>4.1110999999999995</v>
      </c>
      <c r="J28" s="9"/>
      <c r="K28" s="9"/>
      <c r="L28" s="20"/>
      <c r="M28" s="29"/>
      <c r="N28" s="31"/>
      <c r="O28" s="31"/>
      <c r="P28" s="31"/>
      <c r="Q28" s="31"/>
      <c r="R28" s="31"/>
      <c r="S28" s="33"/>
    </row>
    <row r="29" spans="1:19" s="16" customFormat="1" ht="21.75" customHeight="1">
      <c r="A29" s="9">
        <v>24</v>
      </c>
      <c r="B29" s="145"/>
      <c r="C29" s="147"/>
      <c r="D29" s="34">
        <v>12</v>
      </c>
      <c r="E29" s="11">
        <v>8243</v>
      </c>
      <c r="F29" s="12">
        <f t="shared" si="0"/>
        <v>14</v>
      </c>
      <c r="G29" s="12">
        <f t="shared" si="4"/>
        <v>35</v>
      </c>
      <c r="H29" s="12">
        <f t="shared" si="5"/>
        <v>90</v>
      </c>
      <c r="I29" s="12">
        <f t="shared" si="6"/>
        <v>2.9364999999999997</v>
      </c>
      <c r="J29" s="9"/>
      <c r="K29" s="9"/>
      <c r="L29" s="20"/>
      <c r="M29" s="29"/>
      <c r="N29" s="35"/>
      <c r="O29" s="35"/>
      <c r="P29" s="31"/>
      <c r="Q29" s="35"/>
      <c r="R29" s="35"/>
      <c r="S29" s="36"/>
    </row>
    <row r="30" spans="1:19" s="16" customFormat="1" ht="21.75" customHeight="1" thickBot="1">
      <c r="A30" s="9">
        <v>25</v>
      </c>
      <c r="B30" s="145"/>
      <c r="C30" s="147"/>
      <c r="D30" s="10">
        <v>13</v>
      </c>
      <c r="E30" s="11">
        <v>9687</v>
      </c>
      <c r="F30" s="12">
        <f>VLOOKUP(E30,ддд,2,FALSE)</f>
        <v>15</v>
      </c>
      <c r="G30" s="12">
        <f t="shared" si="4"/>
        <v>40</v>
      </c>
      <c r="H30" s="12">
        <f t="shared" si="5"/>
        <v>92</v>
      </c>
      <c r="I30" s="12">
        <f t="shared" si="6"/>
        <v>2.6848000000000001</v>
      </c>
      <c r="J30" s="9"/>
      <c r="K30" s="9"/>
      <c r="L30" s="20"/>
      <c r="M30" s="37"/>
      <c r="N30" s="38"/>
      <c r="O30" s="38"/>
      <c r="P30" s="38"/>
      <c r="Q30" s="38"/>
      <c r="R30" s="38"/>
      <c r="S30" s="39"/>
    </row>
    <row r="31" spans="1:19" s="16" customFormat="1" ht="21" customHeight="1">
      <c r="A31" s="9">
        <v>26</v>
      </c>
      <c r="B31" s="145"/>
      <c r="C31" s="147"/>
      <c r="D31" s="34">
        <v>14</v>
      </c>
      <c r="E31" s="11">
        <v>1189</v>
      </c>
      <c r="F31" s="12"/>
      <c r="G31" s="12"/>
      <c r="H31" s="12"/>
      <c r="I31" s="12"/>
      <c r="J31" s="9"/>
      <c r="K31" s="9"/>
      <c r="L31" s="20"/>
      <c r="M31" s="151" t="s">
        <v>29</v>
      </c>
      <c r="N31" s="152"/>
      <c r="O31" s="152"/>
      <c r="P31" s="152"/>
      <c r="Q31" s="152"/>
      <c r="R31" s="152"/>
      <c r="S31" s="153"/>
    </row>
    <row r="32" spans="1:19" s="16" customFormat="1" ht="21" customHeight="1">
      <c r="A32" s="9">
        <v>27</v>
      </c>
      <c r="B32" s="145"/>
      <c r="C32" s="146" t="s">
        <v>30</v>
      </c>
      <c r="D32" s="40">
        <v>1</v>
      </c>
      <c r="E32" s="11">
        <v>4615</v>
      </c>
      <c r="F32" s="12">
        <f t="shared" si="0"/>
        <v>13</v>
      </c>
      <c r="G32" s="12">
        <f t="shared" si="4"/>
        <v>25</v>
      </c>
      <c r="H32" s="12">
        <f t="shared" si="5"/>
        <v>75</v>
      </c>
      <c r="I32" s="12">
        <f t="shared" si="6"/>
        <v>5.2437500000000004</v>
      </c>
      <c r="J32" s="9"/>
      <c r="K32" s="9"/>
      <c r="L32" s="20"/>
      <c r="M32" s="29">
        <v>1</v>
      </c>
      <c r="N32" s="31"/>
      <c r="O32" s="31"/>
      <c r="P32" s="31">
        <v>4</v>
      </c>
      <c r="Q32" s="31"/>
      <c r="R32" s="31"/>
      <c r="S32" s="33"/>
    </row>
    <row r="33" spans="1:19" s="16" customFormat="1" ht="21" customHeight="1">
      <c r="A33" s="9">
        <v>28</v>
      </c>
      <c r="B33" s="145"/>
      <c r="C33" s="147"/>
      <c r="D33" s="41">
        <v>2</v>
      </c>
      <c r="E33" s="11">
        <v>6858</v>
      </c>
      <c r="F33" s="12">
        <f t="shared" si="0"/>
        <v>13</v>
      </c>
      <c r="G33" s="12">
        <f t="shared" si="4"/>
        <v>40</v>
      </c>
      <c r="H33" s="12">
        <f t="shared" si="5"/>
        <v>80</v>
      </c>
      <c r="I33" s="12">
        <f t="shared" si="6"/>
        <v>6.7119999999999997</v>
      </c>
      <c r="J33" s="9"/>
      <c r="K33" s="9"/>
      <c r="L33" s="20"/>
      <c r="M33" s="29">
        <v>2</v>
      </c>
      <c r="N33" s="31"/>
      <c r="O33" s="31"/>
      <c r="P33" s="31">
        <v>5</v>
      </c>
      <c r="Q33" s="31"/>
      <c r="R33" s="31"/>
      <c r="S33" s="33"/>
    </row>
    <row r="34" spans="1:19" s="16" customFormat="1" ht="21" customHeight="1" thickBot="1">
      <c r="A34" s="9">
        <v>29</v>
      </c>
      <c r="B34" s="145"/>
      <c r="C34" s="147"/>
      <c r="D34" s="10">
        <v>3</v>
      </c>
      <c r="E34" s="11">
        <v>2123</v>
      </c>
      <c r="F34" s="12">
        <f t="shared" si="0"/>
        <v>14</v>
      </c>
      <c r="G34" s="12">
        <f t="shared" si="4"/>
        <v>45</v>
      </c>
      <c r="H34" s="12">
        <f t="shared" si="5"/>
        <v>92</v>
      </c>
      <c r="I34" s="12">
        <f t="shared" si="6"/>
        <v>3.0203999999999995</v>
      </c>
      <c r="J34" s="9"/>
      <c r="K34" s="9"/>
      <c r="L34" s="20"/>
      <c r="M34" s="37">
        <v>3</v>
      </c>
      <c r="N34" s="38"/>
      <c r="O34" s="38"/>
      <c r="P34" s="38">
        <v>6</v>
      </c>
      <c r="Q34" s="38"/>
      <c r="R34" s="38"/>
      <c r="S34" s="39"/>
    </row>
    <row r="35" spans="1:19" s="16" customFormat="1" ht="21" customHeight="1">
      <c r="A35" s="9">
        <v>30</v>
      </c>
      <c r="B35" s="145"/>
      <c r="C35" s="147"/>
      <c r="D35" s="10">
        <v>4</v>
      </c>
      <c r="E35" s="11">
        <v>2952</v>
      </c>
      <c r="F35" s="12">
        <f t="shared" si="0"/>
        <v>13</v>
      </c>
      <c r="G35" s="12">
        <f t="shared" si="4"/>
        <v>50</v>
      </c>
      <c r="H35" s="12">
        <f t="shared" si="5"/>
        <v>93</v>
      </c>
      <c r="I35" s="12">
        <f t="shared" si="6"/>
        <v>2.9364999999999997</v>
      </c>
      <c r="J35" s="9"/>
      <c r="K35" s="9"/>
      <c r="L35" s="20"/>
      <c r="M35" s="151" t="s">
        <v>31</v>
      </c>
      <c r="N35" s="152"/>
      <c r="O35" s="152"/>
      <c r="P35" s="152"/>
      <c r="Q35" s="152"/>
      <c r="R35" s="152"/>
      <c r="S35" s="153"/>
    </row>
    <row r="36" spans="1:19" s="16" customFormat="1" ht="30" customHeight="1">
      <c r="A36" s="9">
        <v>31</v>
      </c>
      <c r="B36" s="145"/>
      <c r="C36" s="147"/>
      <c r="D36" s="10">
        <v>5</v>
      </c>
      <c r="E36" s="11">
        <v>547</v>
      </c>
      <c r="F36" s="12">
        <f t="shared" si="0"/>
        <v>13</v>
      </c>
      <c r="G36" s="12">
        <f t="shared" si="4"/>
        <v>30</v>
      </c>
      <c r="H36" s="12">
        <f t="shared" si="5"/>
        <v>95</v>
      </c>
      <c r="I36" s="12">
        <f t="shared" si="6"/>
        <v>1.2585</v>
      </c>
      <c r="J36" s="9"/>
      <c r="K36" s="9"/>
      <c r="L36" s="20"/>
      <c r="M36" s="42"/>
      <c r="N36" s="178" t="s">
        <v>74</v>
      </c>
      <c r="O36" s="178"/>
      <c r="P36" s="178"/>
      <c r="Q36" s="178"/>
      <c r="R36" s="178" t="s">
        <v>75</v>
      </c>
      <c r="S36" s="179"/>
    </row>
    <row r="37" spans="1:19" s="16" customFormat="1" ht="30" customHeight="1">
      <c r="A37" s="9">
        <v>32</v>
      </c>
      <c r="B37" s="145"/>
      <c r="C37" s="147"/>
      <c r="D37" s="10">
        <v>6</v>
      </c>
      <c r="E37" s="11">
        <v>4609</v>
      </c>
      <c r="F37" s="12">
        <f>VLOOKUP(E37,ддд,2,FALSE)</f>
        <v>13</v>
      </c>
      <c r="G37" s="12">
        <f>VLOOKUP(E37,ддд,3,FALSE)</f>
        <v>30</v>
      </c>
      <c r="H37" s="12">
        <f>VLOOKUP(E37,ддд,4,FALSE)</f>
        <v>65</v>
      </c>
      <c r="I37" s="12">
        <f>VLOOKUP(E37,ддд,5,FALSE)</f>
        <v>8.8094999999999999</v>
      </c>
      <c r="J37" s="9"/>
      <c r="K37" s="9"/>
      <c r="L37" s="20"/>
      <c r="M37" s="42">
        <v>1</v>
      </c>
      <c r="N37" s="14"/>
      <c r="O37" s="14"/>
      <c r="P37" s="14"/>
      <c r="Q37" s="14"/>
      <c r="R37" s="14"/>
      <c r="S37" s="121"/>
    </row>
    <row r="38" spans="1:19" s="16" customFormat="1" ht="30" customHeight="1">
      <c r="A38" s="9">
        <v>33</v>
      </c>
      <c r="B38" s="145"/>
      <c r="C38" s="147"/>
      <c r="D38" s="10">
        <v>7</v>
      </c>
      <c r="E38" s="11">
        <v>8940</v>
      </c>
      <c r="F38" s="12">
        <f t="shared" si="0"/>
        <v>13</v>
      </c>
      <c r="G38" s="12">
        <f t="shared" si="1"/>
        <v>55</v>
      </c>
      <c r="H38" s="12">
        <f t="shared" si="2"/>
        <v>94</v>
      </c>
      <c r="I38" s="12">
        <f t="shared" si="3"/>
        <v>2.7686999999999999</v>
      </c>
      <c r="J38" s="9"/>
      <c r="K38" s="9"/>
      <c r="L38" s="20"/>
      <c r="M38" s="42">
        <v>2</v>
      </c>
      <c r="N38" s="14"/>
      <c r="O38" s="14"/>
      <c r="P38" s="14"/>
      <c r="Q38" s="14"/>
      <c r="R38" s="14"/>
      <c r="S38" s="121"/>
    </row>
    <row r="39" spans="1:19" s="16" customFormat="1" ht="30" customHeight="1">
      <c r="A39" s="9">
        <v>34</v>
      </c>
      <c r="B39" s="145"/>
      <c r="C39" s="147"/>
      <c r="D39" s="45">
        <v>13</v>
      </c>
      <c r="E39" s="11">
        <v>1194</v>
      </c>
      <c r="F39" s="12">
        <f t="shared" si="0"/>
        <v>13</v>
      </c>
      <c r="G39" s="12">
        <f t="shared" si="1"/>
        <v>35</v>
      </c>
      <c r="H39" s="12">
        <f t="shared" si="2"/>
        <v>95</v>
      </c>
      <c r="I39" s="12">
        <f t="shared" si="3"/>
        <v>1.4682499999999998</v>
      </c>
      <c r="J39" s="9"/>
      <c r="K39" s="9"/>
      <c r="L39" s="20"/>
      <c r="M39" s="42">
        <v>3</v>
      </c>
      <c r="N39" s="14"/>
      <c r="O39" s="14"/>
      <c r="P39" s="14"/>
      <c r="Q39" s="14"/>
      <c r="R39" s="14"/>
      <c r="S39" s="121"/>
    </row>
    <row r="40" spans="1:19" s="16" customFormat="1" ht="30" customHeight="1">
      <c r="A40" s="9">
        <v>35</v>
      </c>
      <c r="B40" s="145"/>
      <c r="C40" s="154"/>
      <c r="D40" s="16">
        <v>14</v>
      </c>
      <c r="E40" s="11">
        <v>8529</v>
      </c>
      <c r="F40" s="12">
        <f>VLOOKUP(E40,ддд,2,FALSE)</f>
        <v>16</v>
      </c>
      <c r="G40" s="12">
        <f>VLOOKUP(E40,ддд,3,FALSE)</f>
        <v>30</v>
      </c>
      <c r="H40" s="12">
        <f>VLOOKUP(E40,ддд,4,FALSE)</f>
        <v>50</v>
      </c>
      <c r="I40" s="12">
        <f>VLOOKUP(E40,ддд,5,FALSE)</f>
        <v>12.585000000000001</v>
      </c>
      <c r="J40" s="9"/>
      <c r="K40" s="9"/>
      <c r="L40" s="20"/>
      <c r="M40" s="42">
        <v>4</v>
      </c>
      <c r="N40" s="14"/>
      <c r="O40" s="14"/>
      <c r="P40" s="14"/>
      <c r="Q40" s="14"/>
      <c r="R40" s="14"/>
      <c r="S40" s="121"/>
    </row>
    <row r="41" spans="1:19" s="16" customFormat="1" ht="30" customHeight="1">
      <c r="A41" s="9">
        <v>36</v>
      </c>
      <c r="B41" s="145"/>
      <c r="C41" s="155" t="s">
        <v>32</v>
      </c>
      <c r="D41" s="10">
        <v>1</v>
      </c>
      <c r="E41" s="11">
        <v>8347</v>
      </c>
      <c r="F41" s="12">
        <f t="shared" si="0"/>
        <v>14</v>
      </c>
      <c r="G41" s="12">
        <f t="shared" si="1"/>
        <v>30</v>
      </c>
      <c r="H41" s="12">
        <f t="shared" si="2"/>
        <v>60</v>
      </c>
      <c r="I41" s="12">
        <f t="shared" si="3"/>
        <v>10.068</v>
      </c>
      <c r="J41" s="9"/>
      <c r="K41" s="9"/>
      <c r="L41" s="20"/>
      <c r="M41" s="42">
        <v>5</v>
      </c>
      <c r="N41" s="14"/>
      <c r="O41" s="14"/>
      <c r="P41" s="14"/>
      <c r="Q41" s="14"/>
      <c r="R41" s="14"/>
      <c r="S41" s="121"/>
    </row>
    <row r="42" spans="1:19" s="16" customFormat="1" ht="30" customHeight="1">
      <c r="A42" s="9">
        <v>37</v>
      </c>
      <c r="B42" s="145"/>
      <c r="C42" s="156"/>
      <c r="D42" s="10">
        <v>2</v>
      </c>
      <c r="E42" s="11">
        <v>6863</v>
      </c>
      <c r="F42" s="12">
        <f t="shared" si="0"/>
        <v>13</v>
      </c>
      <c r="G42" s="12">
        <f t="shared" si="1"/>
        <v>50</v>
      </c>
      <c r="H42" s="12">
        <f t="shared" si="2"/>
        <v>90</v>
      </c>
      <c r="I42" s="12">
        <f t="shared" si="3"/>
        <v>4.1950000000000003</v>
      </c>
      <c r="J42" s="9"/>
      <c r="K42" s="9"/>
      <c r="L42" s="20"/>
      <c r="M42" s="42">
        <v>6</v>
      </c>
      <c r="N42" s="14"/>
      <c r="O42" s="14"/>
      <c r="P42" s="14"/>
      <c r="Q42" s="14"/>
      <c r="R42" s="14"/>
      <c r="S42" s="121"/>
    </row>
    <row r="43" spans="1:19" s="16" customFormat="1" ht="30" customHeight="1">
      <c r="A43" s="9">
        <v>38</v>
      </c>
      <c r="B43" s="145"/>
      <c r="C43" s="156"/>
      <c r="D43" s="10">
        <v>3</v>
      </c>
      <c r="E43" s="46">
        <v>1193</v>
      </c>
      <c r="F43" s="12">
        <f t="shared" si="0"/>
        <v>13</v>
      </c>
      <c r="G43" s="12">
        <f t="shared" si="1"/>
        <v>60</v>
      </c>
      <c r="H43" s="12">
        <f t="shared" si="2"/>
        <v>92</v>
      </c>
      <c r="I43" s="12">
        <f t="shared" si="3"/>
        <v>4.0271999999999997</v>
      </c>
      <c r="J43" s="47"/>
      <c r="K43" s="47"/>
      <c r="L43" s="48"/>
      <c r="M43" s="42">
        <v>7</v>
      </c>
      <c r="N43" s="14"/>
      <c r="O43" s="14"/>
      <c r="P43" s="14"/>
      <c r="Q43" s="14"/>
      <c r="R43" s="14"/>
      <c r="S43" s="121"/>
    </row>
    <row r="44" spans="1:19" s="16" customFormat="1" ht="30" customHeight="1">
      <c r="A44" s="9">
        <v>39</v>
      </c>
      <c r="B44" s="145"/>
      <c r="C44" s="156"/>
      <c r="D44" s="10">
        <v>5</v>
      </c>
      <c r="E44" s="46">
        <v>9437</v>
      </c>
      <c r="F44" s="12">
        <f t="shared" si="0"/>
        <v>13</v>
      </c>
      <c r="G44" s="12">
        <f t="shared" ref="G44:G68" si="7">VLOOKUP(E44,ддд,3,FALSE)</f>
        <v>40</v>
      </c>
      <c r="H44" s="12">
        <f t="shared" ref="H44:H68" si="8">VLOOKUP(E44,ддд,4,FALSE)</f>
        <v>90</v>
      </c>
      <c r="I44" s="12">
        <f t="shared" ref="I44:I68" si="9">VLOOKUP(E44,ддд,5,FALSE)</f>
        <v>3.3559999999999999</v>
      </c>
      <c r="J44" s="49"/>
      <c r="K44" s="49"/>
      <c r="L44" s="50"/>
      <c r="M44" s="42">
        <v>8</v>
      </c>
      <c r="N44" s="14"/>
      <c r="O44" s="14"/>
      <c r="P44" s="14"/>
      <c r="Q44" s="14"/>
      <c r="R44" s="14"/>
      <c r="S44" s="121"/>
    </row>
    <row r="45" spans="1:19" s="16" customFormat="1" ht="21" customHeight="1">
      <c r="A45" s="9">
        <v>40</v>
      </c>
      <c r="B45" s="145"/>
      <c r="C45" s="156"/>
      <c r="D45" s="10">
        <v>6</v>
      </c>
      <c r="E45" s="46">
        <v>9684</v>
      </c>
      <c r="F45" s="12">
        <f t="shared" si="0"/>
        <v>14</v>
      </c>
      <c r="G45" s="12">
        <f t="shared" si="7"/>
        <v>25</v>
      </c>
      <c r="H45" s="12">
        <f t="shared" si="8"/>
        <v>60</v>
      </c>
      <c r="I45" s="12">
        <f t="shared" si="9"/>
        <v>8.39</v>
      </c>
      <c r="J45" s="49"/>
      <c r="K45" s="49"/>
      <c r="L45" s="50"/>
      <c r="M45" s="42">
        <v>9</v>
      </c>
      <c r="N45" s="43"/>
      <c r="O45" s="43"/>
      <c r="P45" s="43"/>
      <c r="Q45" s="43"/>
      <c r="R45" s="43"/>
      <c r="S45" s="44"/>
    </row>
    <row r="46" spans="1:19" s="16" customFormat="1" ht="21" customHeight="1" thickBot="1">
      <c r="A46" s="9">
        <v>41</v>
      </c>
      <c r="B46" s="145"/>
      <c r="C46" s="156"/>
      <c r="D46" s="10">
        <v>7</v>
      </c>
      <c r="E46" s="51">
        <v>9810</v>
      </c>
      <c r="F46" s="12">
        <f t="shared" si="0"/>
        <v>14</v>
      </c>
      <c r="G46" s="12">
        <f t="shared" si="7"/>
        <v>40</v>
      </c>
      <c r="H46" s="12">
        <f t="shared" si="8"/>
        <v>60</v>
      </c>
      <c r="I46" s="12">
        <f t="shared" si="9"/>
        <v>13.423999999999999</v>
      </c>
      <c r="J46" s="49"/>
      <c r="K46" s="49"/>
      <c r="L46" s="50"/>
      <c r="M46" s="42"/>
      <c r="N46" s="43"/>
      <c r="O46" s="43"/>
      <c r="P46" s="43"/>
      <c r="Q46" s="43"/>
      <c r="R46" s="43"/>
      <c r="S46" s="44"/>
    </row>
    <row r="47" spans="1:19" s="16" customFormat="1" ht="21" customHeight="1">
      <c r="A47" s="9">
        <v>42</v>
      </c>
      <c r="B47" s="145"/>
      <c r="C47" s="156"/>
      <c r="D47" s="10">
        <v>9</v>
      </c>
      <c r="E47" s="51">
        <v>6084</v>
      </c>
      <c r="F47" s="12">
        <f t="shared" si="0"/>
        <v>14</v>
      </c>
      <c r="G47" s="12">
        <f t="shared" si="7"/>
        <v>20</v>
      </c>
      <c r="H47" s="12">
        <f t="shared" si="8"/>
        <v>90</v>
      </c>
      <c r="I47" s="12">
        <f t="shared" si="9"/>
        <v>1.6779999999999999</v>
      </c>
      <c r="J47" s="49"/>
      <c r="K47" s="49"/>
      <c r="L47" s="50"/>
      <c r="M47" s="151" t="s">
        <v>33</v>
      </c>
      <c r="N47" s="152"/>
      <c r="O47" s="152"/>
      <c r="P47" s="152"/>
      <c r="Q47" s="152"/>
      <c r="R47" s="152"/>
      <c r="S47" s="153"/>
    </row>
    <row r="48" spans="1:19" s="16" customFormat="1" ht="21" customHeight="1">
      <c r="A48" s="9">
        <v>43</v>
      </c>
      <c r="B48" s="145"/>
      <c r="C48" s="156"/>
      <c r="D48" s="10">
        <v>10</v>
      </c>
      <c r="E48" s="51">
        <v>5602</v>
      </c>
      <c r="F48" s="12">
        <f t="shared" si="0"/>
        <v>15</v>
      </c>
      <c r="G48" s="12">
        <f t="shared" si="7"/>
        <v>60</v>
      </c>
      <c r="H48" s="12">
        <f t="shared" si="8"/>
        <v>50</v>
      </c>
      <c r="I48" s="12">
        <f t="shared" si="9"/>
        <v>25.17</v>
      </c>
      <c r="J48" s="49"/>
      <c r="K48" s="49"/>
      <c r="L48" s="50"/>
      <c r="M48" s="108" t="s">
        <v>70</v>
      </c>
      <c r="N48" s="108" t="s">
        <v>71</v>
      </c>
      <c r="O48" s="108" t="s">
        <v>70</v>
      </c>
      <c r="P48" s="108" t="s">
        <v>71</v>
      </c>
      <c r="Q48" s="108" t="s">
        <v>70</v>
      </c>
      <c r="R48" s="108" t="s">
        <v>71</v>
      </c>
      <c r="S48" s="109" t="s">
        <v>14</v>
      </c>
    </row>
    <row r="49" spans="1:19" ht="21" customHeight="1">
      <c r="A49" s="9">
        <v>44</v>
      </c>
      <c r="B49" s="145"/>
      <c r="C49" s="156"/>
      <c r="D49" s="55">
        <v>11</v>
      </c>
      <c r="E49" s="46">
        <v>6443</v>
      </c>
      <c r="F49" s="12">
        <f t="shared" si="0"/>
        <v>14</v>
      </c>
      <c r="G49" s="12">
        <f t="shared" si="7"/>
        <v>25</v>
      </c>
      <c r="H49" s="12">
        <f t="shared" si="8"/>
        <v>70</v>
      </c>
      <c r="I49" s="12">
        <f t="shared" si="9"/>
        <v>6.2925000000000004</v>
      </c>
      <c r="J49" s="49"/>
      <c r="K49" s="49"/>
      <c r="L49" s="50"/>
      <c r="M49" s="29"/>
      <c r="N49" s="31"/>
      <c r="O49" s="31"/>
      <c r="P49" s="31"/>
      <c r="Q49" s="31"/>
      <c r="R49" s="31"/>
      <c r="S49" s="33"/>
    </row>
    <row r="50" spans="1:19" ht="21" customHeight="1">
      <c r="A50" s="9">
        <v>45</v>
      </c>
      <c r="B50" s="145"/>
      <c r="C50" s="156"/>
      <c r="D50" s="10">
        <v>13</v>
      </c>
      <c r="E50" s="46">
        <v>5671</v>
      </c>
      <c r="F50" s="12">
        <f t="shared" si="0"/>
        <v>14</v>
      </c>
      <c r="G50" s="12">
        <f t="shared" si="7"/>
        <v>55</v>
      </c>
      <c r="H50" s="12">
        <f t="shared" si="8"/>
        <v>92</v>
      </c>
      <c r="I50" s="12">
        <f t="shared" si="9"/>
        <v>3.6915999999999998</v>
      </c>
      <c r="J50" s="49"/>
      <c r="K50" s="49"/>
      <c r="L50" s="50"/>
      <c r="M50" s="29"/>
      <c r="N50" s="31"/>
      <c r="O50" s="31"/>
      <c r="P50" s="31"/>
      <c r="Q50" s="31"/>
      <c r="R50" s="31"/>
      <c r="S50" s="33"/>
    </row>
    <row r="51" spans="1:19" ht="21" customHeight="1">
      <c r="A51" s="9">
        <v>46</v>
      </c>
      <c r="B51" s="145"/>
      <c r="C51" s="155" t="s">
        <v>34</v>
      </c>
      <c r="D51" s="10">
        <v>1</v>
      </c>
      <c r="E51" s="46">
        <v>8250</v>
      </c>
      <c r="F51" s="12">
        <f>VLOOKUP(E51,ддд,2,FALSE)</f>
        <v>14</v>
      </c>
      <c r="G51" s="12">
        <f t="shared" si="7"/>
        <v>20</v>
      </c>
      <c r="H51" s="12">
        <f t="shared" si="8"/>
        <v>55</v>
      </c>
      <c r="I51" s="12">
        <f t="shared" si="9"/>
        <v>7.5510000000000002</v>
      </c>
      <c r="J51" s="49"/>
      <c r="K51" s="49"/>
      <c r="L51" s="50"/>
      <c r="M51" s="56"/>
      <c r="N51" s="45"/>
      <c r="O51" s="45"/>
      <c r="P51" s="45"/>
      <c r="Q51" s="45"/>
      <c r="R51" s="45"/>
      <c r="S51" s="57"/>
    </row>
    <row r="52" spans="1:19" ht="21" customHeight="1" thickBot="1">
      <c r="A52" s="9">
        <v>47</v>
      </c>
      <c r="B52" s="145"/>
      <c r="C52" s="156"/>
      <c r="D52" s="58">
        <v>2</v>
      </c>
      <c r="E52" s="46">
        <v>7504</v>
      </c>
      <c r="F52" s="12">
        <f t="shared" si="0"/>
        <v>13</v>
      </c>
      <c r="G52" s="12">
        <f t="shared" si="7"/>
        <v>15</v>
      </c>
      <c r="H52" s="12">
        <f t="shared" si="8"/>
        <v>85</v>
      </c>
      <c r="I52" s="12">
        <f t="shared" si="9"/>
        <v>1.88775</v>
      </c>
      <c r="J52" s="49"/>
      <c r="K52" s="49"/>
      <c r="L52" s="50"/>
      <c r="M52" s="59"/>
      <c r="N52" s="60"/>
      <c r="O52" s="60"/>
      <c r="P52" s="60"/>
      <c r="Q52" s="60"/>
      <c r="R52" s="60"/>
      <c r="S52" s="61"/>
    </row>
    <row r="53" spans="1:19" ht="21" customHeight="1">
      <c r="A53" s="9">
        <v>48</v>
      </c>
      <c r="B53" s="145"/>
      <c r="C53" s="156"/>
      <c r="D53" s="58">
        <v>3</v>
      </c>
      <c r="E53" s="46">
        <v>3834</v>
      </c>
      <c r="F53" s="12">
        <f>VLOOKUP(E53,ддд,2,FALSE)</f>
        <v>14</v>
      </c>
      <c r="G53" s="12">
        <f t="shared" si="7"/>
        <v>25</v>
      </c>
      <c r="H53" s="12">
        <f t="shared" si="8"/>
        <v>65</v>
      </c>
      <c r="I53" s="12">
        <f t="shared" si="9"/>
        <v>7.3412499999999996</v>
      </c>
      <c r="J53" s="49"/>
      <c r="K53" s="49"/>
      <c r="L53" s="50"/>
      <c r="M53" s="158" t="s">
        <v>35</v>
      </c>
      <c r="N53" s="159"/>
      <c r="O53" s="159"/>
      <c r="P53" s="159"/>
      <c r="Q53" s="159"/>
      <c r="R53" s="159"/>
      <c r="S53" s="160"/>
    </row>
    <row r="54" spans="1:19" ht="21" customHeight="1">
      <c r="A54" s="9">
        <v>49</v>
      </c>
      <c r="B54" s="145"/>
      <c r="C54" s="156"/>
      <c r="D54" s="58">
        <v>4</v>
      </c>
      <c r="E54" s="46">
        <v>9811</v>
      </c>
      <c r="F54" s="12">
        <f t="shared" si="0"/>
        <v>13</v>
      </c>
      <c r="G54" s="12">
        <f t="shared" si="7"/>
        <v>20</v>
      </c>
      <c r="H54" s="12">
        <f t="shared" si="8"/>
        <v>65</v>
      </c>
      <c r="I54" s="12">
        <f t="shared" si="9"/>
        <v>5.8729999999999993</v>
      </c>
      <c r="J54" s="49"/>
      <c r="K54" s="49"/>
      <c r="L54" s="50"/>
      <c r="M54" s="62"/>
      <c r="N54" s="63"/>
      <c r="O54" s="63"/>
      <c r="P54" s="63"/>
      <c r="Q54" s="63"/>
      <c r="R54" s="63"/>
      <c r="S54" s="64"/>
    </row>
    <row r="55" spans="1:19" ht="21" customHeight="1">
      <c r="A55" s="9">
        <v>50</v>
      </c>
      <c r="B55" s="145"/>
      <c r="C55" s="156"/>
      <c r="D55" s="58">
        <v>5</v>
      </c>
      <c r="E55" s="46">
        <v>9686</v>
      </c>
      <c r="F55" s="12">
        <f t="shared" si="0"/>
        <v>14</v>
      </c>
      <c r="G55" s="12">
        <f t="shared" si="7"/>
        <v>60</v>
      </c>
      <c r="H55" s="12">
        <f t="shared" si="8"/>
        <v>85</v>
      </c>
      <c r="I55" s="12">
        <f t="shared" si="9"/>
        <v>7.5510000000000002</v>
      </c>
      <c r="J55" s="49"/>
      <c r="K55" s="49"/>
      <c r="L55" s="50"/>
      <c r="M55" s="62"/>
      <c r="N55" s="63"/>
      <c r="O55" s="63"/>
      <c r="P55" s="63"/>
      <c r="Q55" s="63"/>
      <c r="R55" s="63"/>
      <c r="S55" s="64"/>
    </row>
    <row r="56" spans="1:19" ht="21" customHeight="1">
      <c r="A56" s="9">
        <v>51</v>
      </c>
      <c r="B56" s="145"/>
      <c r="C56" s="156"/>
      <c r="D56" s="58">
        <v>6</v>
      </c>
      <c r="E56" s="46">
        <v>8346</v>
      </c>
      <c r="F56" s="12">
        <f t="shared" si="0"/>
        <v>14</v>
      </c>
      <c r="G56" s="12">
        <f t="shared" si="7"/>
        <v>35</v>
      </c>
      <c r="H56" s="12">
        <f t="shared" si="8"/>
        <v>60</v>
      </c>
      <c r="I56" s="12">
        <f t="shared" si="9"/>
        <v>11.745999999999999</v>
      </c>
      <c r="J56" s="49"/>
      <c r="K56" s="49"/>
      <c r="L56" s="50"/>
      <c r="M56" s="62"/>
      <c r="N56" s="63"/>
      <c r="O56" s="63"/>
      <c r="P56" s="63"/>
      <c r="Q56" s="63"/>
      <c r="R56" s="63"/>
      <c r="S56" s="64"/>
    </row>
    <row r="57" spans="1:19" ht="21" customHeight="1" thickBot="1">
      <c r="A57" s="9">
        <v>52</v>
      </c>
      <c r="B57" s="145"/>
      <c r="C57" s="156"/>
      <c r="D57" s="58">
        <v>7</v>
      </c>
      <c r="E57" s="46">
        <v>9796</v>
      </c>
      <c r="F57" s="12">
        <f t="shared" si="0"/>
        <v>15</v>
      </c>
      <c r="G57" s="12">
        <f t="shared" si="7"/>
        <v>25</v>
      </c>
      <c r="H57" s="12">
        <f t="shared" si="8"/>
        <v>75</v>
      </c>
      <c r="I57" s="12">
        <f t="shared" si="9"/>
        <v>5.2437500000000004</v>
      </c>
      <c r="J57" s="49"/>
      <c r="K57" s="49"/>
      <c r="L57" s="50"/>
      <c r="M57" s="62"/>
      <c r="N57" s="63"/>
      <c r="O57" s="63"/>
      <c r="P57" s="63"/>
      <c r="Q57" s="63"/>
      <c r="R57" s="63"/>
      <c r="S57" s="64"/>
    </row>
    <row r="58" spans="1:19" ht="21" customHeight="1">
      <c r="A58" s="9">
        <v>53</v>
      </c>
      <c r="B58" s="145"/>
      <c r="C58" s="156"/>
      <c r="D58" s="58">
        <v>8</v>
      </c>
      <c r="E58" s="46">
        <v>6604</v>
      </c>
      <c r="F58" s="12">
        <f>VLOOKUP(E58,ддд,2,FALSE)</f>
        <v>14</v>
      </c>
      <c r="G58" s="12">
        <f t="shared" si="7"/>
        <v>30</v>
      </c>
      <c r="H58" s="12">
        <f t="shared" si="8"/>
        <v>85</v>
      </c>
      <c r="I58" s="12">
        <f t="shared" si="9"/>
        <v>3.7755000000000001</v>
      </c>
      <c r="J58" s="49"/>
      <c r="K58" s="49"/>
      <c r="L58" s="50"/>
      <c r="M58" s="65" t="s">
        <v>36</v>
      </c>
      <c r="N58" s="66"/>
      <c r="O58" s="66"/>
      <c r="P58" s="180" t="s">
        <v>78</v>
      </c>
      <c r="Q58" s="162"/>
      <c r="R58" s="162"/>
      <c r="S58" s="163"/>
    </row>
    <row r="59" spans="1:19" ht="21" customHeight="1">
      <c r="A59" s="9">
        <v>54</v>
      </c>
      <c r="B59" s="145"/>
      <c r="C59" s="156"/>
      <c r="D59" s="58">
        <v>9</v>
      </c>
      <c r="E59" s="46">
        <v>9685</v>
      </c>
      <c r="F59" s="12">
        <f t="shared" si="0"/>
        <v>14</v>
      </c>
      <c r="G59" s="12">
        <f t="shared" si="7"/>
        <v>95</v>
      </c>
      <c r="H59" s="12">
        <f t="shared" si="8"/>
        <v>92</v>
      </c>
      <c r="I59" s="12">
        <f t="shared" si="9"/>
        <v>6.3764000000000003</v>
      </c>
      <c r="J59" s="49"/>
      <c r="K59" s="49"/>
      <c r="L59" s="50"/>
      <c r="M59" s="52">
        <v>1</v>
      </c>
      <c r="N59" s="53"/>
      <c r="O59" s="53"/>
      <c r="P59" s="53">
        <v>1</v>
      </c>
      <c r="Q59" s="53"/>
      <c r="R59" s="53">
        <v>4</v>
      </c>
      <c r="S59" s="54"/>
    </row>
    <row r="60" spans="1:19" ht="21" customHeight="1">
      <c r="A60" s="9">
        <v>55</v>
      </c>
      <c r="B60" s="145"/>
      <c r="C60" s="156"/>
      <c r="D60" s="58">
        <v>10</v>
      </c>
      <c r="E60" s="46">
        <v>6865</v>
      </c>
      <c r="F60" s="12">
        <f t="shared" si="0"/>
        <v>13</v>
      </c>
      <c r="G60" s="12">
        <f t="shared" si="7"/>
        <v>55</v>
      </c>
      <c r="H60" s="12">
        <f t="shared" si="8"/>
        <v>93</v>
      </c>
      <c r="I60" s="12">
        <f t="shared" si="9"/>
        <v>3.2301500000000001</v>
      </c>
      <c r="J60" s="49"/>
      <c r="K60" s="49"/>
      <c r="L60" s="50"/>
      <c r="M60" s="52">
        <v>2</v>
      </c>
      <c r="N60" s="53"/>
      <c r="O60" s="53"/>
      <c r="P60" s="53">
        <v>2</v>
      </c>
      <c r="Q60" s="53"/>
      <c r="R60" s="53">
        <v>5</v>
      </c>
      <c r="S60" s="54"/>
    </row>
    <row r="61" spans="1:19" ht="21" customHeight="1" thickBot="1">
      <c r="A61" s="9">
        <v>56</v>
      </c>
      <c r="B61" s="145"/>
      <c r="C61" s="156"/>
      <c r="D61" s="58">
        <v>11</v>
      </c>
      <c r="E61" s="46">
        <v>7968</v>
      </c>
      <c r="F61" s="12">
        <f t="shared" si="0"/>
        <v>15</v>
      </c>
      <c r="G61" s="12">
        <f t="shared" si="7"/>
        <v>50</v>
      </c>
      <c r="H61" s="12">
        <f t="shared" si="8"/>
        <v>85</v>
      </c>
      <c r="I61" s="12">
        <f t="shared" si="9"/>
        <v>6.2925000000000004</v>
      </c>
      <c r="J61" s="49"/>
      <c r="K61" s="49"/>
      <c r="L61" s="50"/>
      <c r="M61" s="67">
        <v>3</v>
      </c>
      <c r="N61" s="68"/>
      <c r="O61" s="68"/>
      <c r="P61" s="68">
        <v>3</v>
      </c>
      <c r="Q61" s="68"/>
      <c r="R61" s="68">
        <v>6</v>
      </c>
      <c r="S61" s="69"/>
    </row>
    <row r="62" spans="1:19" ht="21" customHeight="1">
      <c r="A62" s="9">
        <v>57</v>
      </c>
      <c r="B62" s="145"/>
      <c r="C62" s="156"/>
      <c r="D62" s="70">
        <v>12</v>
      </c>
      <c r="E62" s="46">
        <v>3833</v>
      </c>
      <c r="F62" s="12">
        <f>VLOOKUP(E62,ддд,2,FALSE)</f>
        <v>15</v>
      </c>
      <c r="G62" s="12">
        <f t="shared" si="7"/>
        <v>25</v>
      </c>
      <c r="H62" s="12">
        <f t="shared" si="8"/>
        <v>80</v>
      </c>
      <c r="I62" s="12">
        <f t="shared" si="9"/>
        <v>4.1950000000000003</v>
      </c>
      <c r="J62" s="49"/>
      <c r="K62" s="49"/>
      <c r="L62" s="50"/>
      <c r="M62" s="161" t="s">
        <v>77</v>
      </c>
      <c r="N62" s="162"/>
      <c r="O62" s="162"/>
      <c r="P62" s="162"/>
      <c r="Q62" s="162"/>
      <c r="R62" s="162"/>
      <c r="S62" s="163"/>
    </row>
    <row r="63" spans="1:19" ht="26.25" customHeight="1" thickBot="1">
      <c r="A63" s="9">
        <v>58</v>
      </c>
      <c r="B63" s="145"/>
      <c r="C63" s="156"/>
      <c r="D63" s="58">
        <v>13</v>
      </c>
      <c r="E63" s="46">
        <v>6315</v>
      </c>
      <c r="F63" s="12">
        <f t="shared" si="0"/>
        <v>15</v>
      </c>
      <c r="G63" s="12">
        <f t="shared" si="7"/>
        <v>30</v>
      </c>
      <c r="H63" s="12">
        <f t="shared" si="8"/>
        <v>75</v>
      </c>
      <c r="I63" s="12">
        <f t="shared" si="9"/>
        <v>6.2925000000000004</v>
      </c>
      <c r="J63" s="49"/>
      <c r="K63" s="49"/>
      <c r="L63" s="50"/>
      <c r="M63" s="122"/>
      <c r="N63" s="123"/>
      <c r="O63" s="123"/>
      <c r="P63" s="123"/>
      <c r="Q63" s="123"/>
      <c r="R63" s="123"/>
      <c r="S63" s="124"/>
    </row>
    <row r="64" spans="1:19">
      <c r="A64" s="9">
        <v>59</v>
      </c>
      <c r="B64" s="71"/>
      <c r="C64" s="157"/>
      <c r="D64" s="58">
        <v>14</v>
      </c>
      <c r="E64" s="46">
        <v>2590</v>
      </c>
      <c r="F64" s="12">
        <f>VLOOKUP(E64,ддд,2,FALSE)</f>
        <v>15</v>
      </c>
      <c r="G64" s="12">
        <f t="shared" si="7"/>
        <v>30</v>
      </c>
      <c r="H64" s="12">
        <f t="shared" si="8"/>
        <v>70</v>
      </c>
      <c r="I64" s="12">
        <f t="shared" si="9"/>
        <v>7.5510000000000002</v>
      </c>
      <c r="J64" s="49"/>
      <c r="K64" s="49"/>
      <c r="L64" s="50"/>
      <c r="M64" s="161" t="s">
        <v>37</v>
      </c>
      <c r="N64" s="162"/>
      <c r="O64" s="162"/>
      <c r="P64" s="162"/>
      <c r="Q64" s="162"/>
      <c r="R64" s="162"/>
      <c r="S64" s="163"/>
    </row>
    <row r="65" spans="1:19" ht="21" customHeight="1">
      <c r="A65" s="9">
        <v>60</v>
      </c>
      <c r="B65" s="71"/>
      <c r="C65" s="155" t="s">
        <v>38</v>
      </c>
      <c r="D65" s="10">
        <v>1</v>
      </c>
      <c r="E65" s="46">
        <v>7510</v>
      </c>
      <c r="F65" s="12">
        <f t="shared" si="0"/>
        <v>13</v>
      </c>
      <c r="G65" s="12">
        <f t="shared" si="7"/>
        <v>25</v>
      </c>
      <c r="H65" s="12">
        <f t="shared" si="8"/>
        <v>60</v>
      </c>
      <c r="I65" s="12">
        <f t="shared" si="9"/>
        <v>8.39</v>
      </c>
      <c r="J65" s="49"/>
      <c r="K65" s="49"/>
      <c r="L65" s="50"/>
      <c r="M65" s="72"/>
      <c r="N65" s="73"/>
      <c r="O65" s="73"/>
      <c r="P65" s="73"/>
      <c r="Q65" s="73"/>
      <c r="R65" s="73"/>
      <c r="S65" s="74"/>
    </row>
    <row r="66" spans="1:19" ht="21" customHeight="1">
      <c r="A66" s="9">
        <v>61</v>
      </c>
      <c r="B66" s="71"/>
      <c r="C66" s="156"/>
      <c r="D66" s="186">
        <v>2</v>
      </c>
      <c r="E66" s="46">
        <v>8237</v>
      </c>
      <c r="F66" s="12">
        <f t="shared" ref="F66:F75" si="10">VLOOKUP(E66,ддд,2,FALSE)</f>
        <v>13</v>
      </c>
      <c r="G66" s="12">
        <f t="shared" si="7"/>
        <v>15</v>
      </c>
      <c r="H66" s="12">
        <f t="shared" si="8"/>
        <v>55</v>
      </c>
      <c r="I66" s="12">
        <f t="shared" si="9"/>
        <v>5.6632499999999997</v>
      </c>
      <c r="J66" s="49"/>
      <c r="K66" s="49"/>
      <c r="L66" s="50"/>
      <c r="M66" s="166"/>
      <c r="N66" s="167"/>
      <c r="O66" s="167"/>
      <c r="P66" s="167"/>
      <c r="Q66" s="167"/>
      <c r="R66" s="167"/>
      <c r="S66" s="168"/>
    </row>
    <row r="67" spans="1:19" ht="21" customHeight="1">
      <c r="A67" s="9">
        <v>62</v>
      </c>
      <c r="B67" s="71"/>
      <c r="C67" s="156"/>
      <c r="D67" s="187"/>
      <c r="E67" s="46">
        <v>9456</v>
      </c>
      <c r="F67" s="12">
        <f t="shared" si="10"/>
        <v>13</v>
      </c>
      <c r="G67" s="12">
        <f>VLOOKUP(E67,ддд,3,FALSE)</f>
        <v>45</v>
      </c>
      <c r="H67" s="12">
        <f>VLOOKUP(E67,ддд,4,FALSE)</f>
        <v>85</v>
      </c>
      <c r="I67" s="12">
        <f>VLOOKUP(E67,ддд,5,FALSE)</f>
        <v>5.6632499999999997</v>
      </c>
      <c r="J67" s="49"/>
      <c r="K67" s="49"/>
      <c r="L67" s="50"/>
      <c r="M67" s="75"/>
      <c r="N67" s="76"/>
      <c r="O67" s="76"/>
      <c r="P67" s="76"/>
      <c r="Q67" s="76"/>
      <c r="R67" s="76"/>
      <c r="S67" s="77"/>
    </row>
    <row r="68" spans="1:19" ht="21" customHeight="1" thickBot="1">
      <c r="A68" s="9">
        <v>63</v>
      </c>
      <c r="B68" s="71"/>
      <c r="C68" s="156"/>
      <c r="D68" s="58">
        <v>3</v>
      </c>
      <c r="E68" s="46">
        <v>7709</v>
      </c>
      <c r="F68" s="12">
        <f t="shared" si="10"/>
        <v>13</v>
      </c>
      <c r="G68" s="12">
        <f t="shared" si="7"/>
        <v>40</v>
      </c>
      <c r="H68" s="12">
        <f t="shared" si="8"/>
        <v>93</v>
      </c>
      <c r="I68" s="12">
        <f t="shared" si="9"/>
        <v>2.3491999999999997</v>
      </c>
      <c r="J68" s="49"/>
      <c r="K68" s="49"/>
      <c r="L68" s="50"/>
      <c r="M68" s="169"/>
      <c r="N68" s="170"/>
      <c r="O68" s="170"/>
      <c r="P68" s="170"/>
      <c r="Q68" s="170"/>
      <c r="R68" s="170"/>
      <c r="S68" s="171"/>
    </row>
    <row r="69" spans="1:19" ht="21" customHeight="1">
      <c r="A69" s="9">
        <v>64</v>
      </c>
      <c r="B69" s="71"/>
      <c r="C69" s="156"/>
      <c r="D69" s="58">
        <v>6</v>
      </c>
      <c r="E69" s="46">
        <v>8238</v>
      </c>
      <c r="F69" s="12">
        <f t="shared" si="10"/>
        <v>13</v>
      </c>
      <c r="G69" s="12">
        <f t="shared" ref="G69:G75" si="11">VLOOKUP(E69,ддд,3,FALSE)</f>
        <v>25</v>
      </c>
      <c r="H69" s="12">
        <f t="shared" ref="H69:H75" si="12">VLOOKUP(E69,ддд,4,FALSE)</f>
        <v>70</v>
      </c>
      <c r="I69" s="12">
        <f t="shared" ref="I69:I75" si="13">VLOOKUP(E69,ддд,5,FALSE)</f>
        <v>6.2925000000000004</v>
      </c>
      <c r="J69" s="49"/>
      <c r="K69" s="49"/>
      <c r="L69" s="50"/>
      <c r="M69" s="172" t="s">
        <v>39</v>
      </c>
      <c r="N69" s="173"/>
      <c r="O69" s="173"/>
      <c r="P69" s="173"/>
      <c r="Q69" s="173"/>
      <c r="R69" s="173"/>
      <c r="S69" s="174"/>
    </row>
    <row r="70" spans="1:19" ht="21" customHeight="1">
      <c r="A70" s="9">
        <v>65</v>
      </c>
      <c r="B70" s="71"/>
      <c r="C70" s="156"/>
      <c r="D70" s="58">
        <v>7</v>
      </c>
      <c r="E70" s="46">
        <v>8239</v>
      </c>
      <c r="F70" s="12">
        <f t="shared" si="10"/>
        <v>13</v>
      </c>
      <c r="G70" s="12">
        <f t="shared" si="11"/>
        <v>25</v>
      </c>
      <c r="H70" s="12">
        <f t="shared" si="12"/>
        <v>75</v>
      </c>
      <c r="I70" s="12">
        <f t="shared" si="13"/>
        <v>5.2437500000000004</v>
      </c>
      <c r="J70" s="49"/>
      <c r="K70" s="49"/>
      <c r="L70" s="50"/>
      <c r="M70" s="78" t="s">
        <v>40</v>
      </c>
      <c r="N70" s="79" t="s">
        <v>41</v>
      </c>
      <c r="O70" s="80" t="s">
        <v>42</v>
      </c>
      <c r="P70" s="81" t="s">
        <v>43</v>
      </c>
      <c r="Q70" s="82" t="s">
        <v>44</v>
      </c>
      <c r="R70" s="81" t="s">
        <v>45</v>
      </c>
      <c r="S70" s="83" t="s">
        <v>14</v>
      </c>
    </row>
    <row r="71" spans="1:19" ht="21" customHeight="1">
      <c r="A71" s="9">
        <v>66</v>
      </c>
      <c r="B71" s="71"/>
      <c r="C71" s="156"/>
      <c r="D71" s="58">
        <v>8</v>
      </c>
      <c r="E71" s="46">
        <v>7509</v>
      </c>
      <c r="F71" s="12">
        <f t="shared" si="10"/>
        <v>13</v>
      </c>
      <c r="G71" s="12">
        <f t="shared" si="11"/>
        <v>65</v>
      </c>
      <c r="H71" s="12">
        <f t="shared" si="12"/>
        <v>95</v>
      </c>
      <c r="I71" s="12">
        <f t="shared" si="13"/>
        <v>2.72675</v>
      </c>
      <c r="J71" s="49"/>
      <c r="K71" s="49"/>
      <c r="L71" s="50"/>
      <c r="M71" s="84">
        <v>1</v>
      </c>
      <c r="N71" s="85"/>
      <c r="O71" s="85"/>
      <c r="P71" s="81"/>
      <c r="Q71" s="82"/>
      <c r="R71" s="81"/>
      <c r="S71" s="86"/>
    </row>
    <row r="72" spans="1:19" ht="21" customHeight="1">
      <c r="A72" s="9">
        <v>67</v>
      </c>
      <c r="B72" s="71"/>
      <c r="C72" s="156"/>
      <c r="D72" s="58">
        <v>9</v>
      </c>
      <c r="E72" s="46">
        <v>8245</v>
      </c>
      <c r="F72" s="12">
        <f>VLOOKUP(E72,ддд,2,FALSE)</f>
        <v>13</v>
      </c>
      <c r="G72" s="12">
        <f t="shared" si="11"/>
        <v>25</v>
      </c>
      <c r="H72" s="12">
        <f t="shared" si="12"/>
        <v>93</v>
      </c>
      <c r="I72" s="12">
        <f t="shared" si="13"/>
        <v>1.4682499999999998</v>
      </c>
      <c r="J72" s="49"/>
      <c r="K72" s="49"/>
      <c r="L72" s="50"/>
      <c r="M72" s="84">
        <v>2</v>
      </c>
      <c r="N72" s="85"/>
      <c r="O72" s="85"/>
      <c r="P72" s="81"/>
      <c r="Q72" s="82"/>
      <c r="R72" s="81"/>
      <c r="S72" s="87"/>
    </row>
    <row r="73" spans="1:19" ht="21" customHeight="1">
      <c r="A73" s="9">
        <v>68</v>
      </c>
      <c r="B73" s="71"/>
      <c r="C73" s="156"/>
      <c r="D73" s="58">
        <v>10</v>
      </c>
      <c r="E73" s="46">
        <v>6862</v>
      </c>
      <c r="F73" s="12">
        <f t="shared" si="10"/>
        <v>13</v>
      </c>
      <c r="G73" s="12">
        <f t="shared" si="11"/>
        <v>55</v>
      </c>
      <c r="H73" s="12">
        <f t="shared" si="12"/>
        <v>90</v>
      </c>
      <c r="I73" s="12">
        <f t="shared" si="13"/>
        <v>4.6144999999999996</v>
      </c>
      <c r="J73" s="49"/>
      <c r="K73" s="49"/>
      <c r="L73" s="50"/>
      <c r="M73" s="84">
        <v>3</v>
      </c>
      <c r="N73" s="85"/>
      <c r="O73" s="85"/>
      <c r="P73" s="81"/>
      <c r="Q73" s="82"/>
      <c r="R73" s="81"/>
      <c r="S73" s="87"/>
    </row>
    <row r="74" spans="1:19" ht="21" customHeight="1" thickBot="1">
      <c r="A74" s="9">
        <v>69</v>
      </c>
      <c r="B74" s="71"/>
      <c r="C74" s="156"/>
      <c r="D74" s="58">
        <v>11</v>
      </c>
      <c r="E74" s="46">
        <v>7155</v>
      </c>
      <c r="F74" s="12">
        <f t="shared" si="10"/>
        <v>13</v>
      </c>
      <c r="G74" s="12">
        <f t="shared" si="11"/>
        <v>20</v>
      </c>
      <c r="H74" s="12">
        <f t="shared" si="12"/>
        <v>75</v>
      </c>
      <c r="I74" s="12">
        <f t="shared" si="13"/>
        <v>4.1950000000000003</v>
      </c>
      <c r="J74" s="49"/>
      <c r="K74" s="49"/>
      <c r="L74" s="50"/>
      <c r="M74" s="88">
        <v>4</v>
      </c>
      <c r="N74" s="89"/>
      <c r="O74" s="89"/>
      <c r="P74" s="90"/>
      <c r="Q74" s="91"/>
      <c r="R74" s="90"/>
      <c r="S74" s="92"/>
    </row>
    <row r="75" spans="1:19" ht="21" customHeight="1" thickBot="1">
      <c r="A75" s="9">
        <v>70</v>
      </c>
      <c r="B75" s="71"/>
      <c r="C75" s="93"/>
      <c r="D75" s="58">
        <v>14</v>
      </c>
      <c r="E75" s="46">
        <v>8086</v>
      </c>
      <c r="F75" s="12">
        <f t="shared" si="10"/>
        <v>13</v>
      </c>
      <c r="G75" s="12">
        <f t="shared" si="11"/>
        <v>25</v>
      </c>
      <c r="H75" s="12">
        <f t="shared" si="12"/>
        <v>70</v>
      </c>
      <c r="I75" s="12">
        <f t="shared" si="13"/>
        <v>6.2925000000000004</v>
      </c>
      <c r="J75" s="49"/>
      <c r="K75" s="49"/>
      <c r="L75" s="50"/>
      <c r="M75" s="161" t="s">
        <v>46</v>
      </c>
      <c r="N75" s="162"/>
      <c r="O75" s="162"/>
      <c r="P75" s="175" t="s">
        <v>47</v>
      </c>
      <c r="Q75" s="176"/>
      <c r="R75" s="176"/>
      <c r="S75" s="177"/>
    </row>
    <row r="76" spans="1:19" ht="21" customHeight="1" thickBot="1">
      <c r="A76" s="49"/>
      <c r="B76" s="94"/>
      <c r="C76" s="95"/>
      <c r="D76" s="96">
        <f>COUNT(E6:E75)</f>
        <v>70</v>
      </c>
      <c r="E76" s="97"/>
      <c r="F76" s="98"/>
      <c r="G76" s="99">
        <f>SUM(G6:G75)</f>
        <v>2750</v>
      </c>
      <c r="H76" s="99"/>
      <c r="I76" s="99">
        <f>SUM(I6:I75)</f>
        <v>353.21899999999988</v>
      </c>
      <c r="J76" s="49"/>
      <c r="K76" s="49"/>
      <c r="L76" s="50"/>
      <c r="M76" s="100"/>
      <c r="N76" s="101"/>
      <c r="O76" s="102"/>
      <c r="P76" s="100"/>
      <c r="Q76" s="101"/>
      <c r="R76" s="101"/>
      <c r="S76" s="103"/>
    </row>
    <row r="77" spans="1:19" ht="21" customHeight="1">
      <c r="A77" s="49"/>
      <c r="B77" s="94"/>
      <c r="C77" s="183"/>
      <c r="D77" s="184"/>
      <c r="E77" s="185"/>
      <c r="F77" s="104" t="s">
        <v>48</v>
      </c>
      <c r="G77" s="104" t="s">
        <v>49</v>
      </c>
      <c r="H77" s="165" t="s">
        <v>50</v>
      </c>
      <c r="I77" s="165"/>
      <c r="J77" s="165" t="s">
        <v>51</v>
      </c>
      <c r="K77" s="165"/>
      <c r="L77" s="104" t="s">
        <v>52</v>
      </c>
      <c r="M77" s="105" t="s">
        <v>53</v>
      </c>
      <c r="N77" s="105" t="s">
        <v>54</v>
      </c>
      <c r="O77" s="105" t="s">
        <v>55</v>
      </c>
      <c r="P77" s="105" t="s">
        <v>56</v>
      </c>
      <c r="Q77" s="105" t="s">
        <v>57</v>
      </c>
      <c r="R77" s="106" t="s">
        <v>58</v>
      </c>
      <c r="S77" s="106" t="s">
        <v>59</v>
      </c>
    </row>
    <row r="78" spans="1:19" ht="21.75" customHeight="1">
      <c r="A78" s="181" t="s">
        <v>79</v>
      </c>
      <c r="B78" s="182"/>
      <c r="C78" s="48"/>
      <c r="D78" s="128"/>
      <c r="E78" s="129"/>
      <c r="F78" s="107"/>
      <c r="G78" s="107"/>
      <c r="H78" s="47"/>
      <c r="I78" s="47"/>
      <c r="J78" s="47"/>
      <c r="K78" s="47"/>
      <c r="L78" s="107"/>
      <c r="M78" s="47"/>
      <c r="N78" s="47"/>
      <c r="O78" s="47"/>
      <c r="P78" s="47"/>
      <c r="Q78" s="47"/>
      <c r="R78" s="47"/>
      <c r="S78" s="47"/>
    </row>
    <row r="79" spans="1:19" ht="21.75" customHeight="1">
      <c r="A79" s="188" t="s">
        <v>60</v>
      </c>
      <c r="B79" s="189"/>
      <c r="C79" s="125"/>
      <c r="D79" s="126"/>
      <c r="E79" s="127"/>
      <c r="F79" s="63"/>
      <c r="G79" s="63"/>
      <c r="H79" s="63"/>
      <c r="I79" s="63"/>
      <c r="J79" s="63"/>
      <c r="K79" s="63"/>
      <c r="L79" s="63"/>
      <c r="M79" s="49"/>
      <c r="N79" s="49"/>
      <c r="O79" s="49"/>
      <c r="P79" s="49"/>
      <c r="Q79" s="49"/>
      <c r="R79" s="47"/>
      <c r="S79" s="47"/>
    </row>
    <row r="80" spans="1:19" ht="21.75" customHeight="1">
      <c r="A80" s="143" t="s">
        <v>61</v>
      </c>
      <c r="B80" s="143"/>
      <c r="C80" s="48"/>
      <c r="D80" s="128"/>
      <c r="E80" s="12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7"/>
      <c r="S80" s="47"/>
    </row>
    <row r="81" spans="1:19" ht="18" customHeight="1">
      <c r="A81" s="188" t="s">
        <v>62</v>
      </c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89"/>
      <c r="M81" s="104" t="s">
        <v>63</v>
      </c>
      <c r="N81" s="165" t="s">
        <v>64</v>
      </c>
      <c r="O81" s="165"/>
      <c r="P81" s="104" t="s">
        <v>65</v>
      </c>
      <c r="Q81" s="165" t="s">
        <v>66</v>
      </c>
      <c r="R81" s="165"/>
      <c r="S81" s="165"/>
    </row>
    <row r="82" spans="1:19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2"/>
      <c r="M82" s="139"/>
      <c r="N82" s="140"/>
      <c r="O82" s="140"/>
      <c r="P82" s="139"/>
      <c r="Q82" s="140"/>
      <c r="R82" s="140"/>
      <c r="S82" s="140"/>
    </row>
    <row r="83" spans="1:19">
      <c r="A83" s="133"/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5"/>
      <c r="M83" s="139"/>
      <c r="N83" s="140"/>
      <c r="O83" s="140"/>
      <c r="P83" s="139"/>
      <c r="Q83" s="140"/>
      <c r="R83" s="140"/>
      <c r="S83" s="140"/>
    </row>
    <row r="84" spans="1:19">
      <c r="A84" s="133"/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5"/>
      <c r="M84" s="139"/>
      <c r="N84" s="140"/>
      <c r="O84" s="140"/>
      <c r="P84" s="139"/>
      <c r="Q84" s="140"/>
      <c r="R84" s="140"/>
      <c r="S84" s="140"/>
    </row>
    <row r="85" spans="1:19">
      <c r="A85" s="133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5"/>
      <c r="M85" s="139"/>
      <c r="N85" s="140"/>
      <c r="O85" s="140"/>
      <c r="P85" s="139"/>
      <c r="Q85" s="140"/>
      <c r="R85" s="140"/>
      <c r="S85" s="140"/>
    </row>
    <row r="86" spans="1:19">
      <c r="A86" s="133"/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5"/>
      <c r="M86" s="139"/>
      <c r="N86" s="140"/>
      <c r="O86" s="140"/>
      <c r="P86" s="139"/>
      <c r="Q86" s="140"/>
      <c r="R86" s="140"/>
      <c r="S86" s="140"/>
    </row>
    <row r="87" spans="1:19" ht="18.75" customHeight="1">
      <c r="A87" s="133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5"/>
      <c r="M87" s="139"/>
      <c r="N87" s="140"/>
      <c r="O87" s="140"/>
      <c r="P87" s="139"/>
      <c r="Q87" s="140"/>
      <c r="R87" s="140"/>
      <c r="S87" s="140"/>
    </row>
    <row r="88" spans="1:19">
      <c r="A88" s="133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5"/>
      <c r="M88" s="139"/>
      <c r="N88" s="140"/>
      <c r="O88" s="140"/>
      <c r="P88" s="139"/>
      <c r="Q88" s="140"/>
      <c r="R88" s="140"/>
      <c r="S88" s="140"/>
    </row>
    <row r="89" spans="1:19">
      <c r="A89" s="133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5"/>
      <c r="M89" s="139"/>
      <c r="N89" s="140"/>
      <c r="O89" s="140"/>
      <c r="P89" s="139"/>
      <c r="Q89" s="140"/>
      <c r="R89" s="140"/>
      <c r="S89" s="140"/>
    </row>
    <row r="90" spans="1:19">
      <c r="A90" s="133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5"/>
      <c r="M90" s="139"/>
      <c r="N90" s="140"/>
      <c r="O90" s="140"/>
      <c r="P90" s="139"/>
      <c r="Q90" s="140"/>
      <c r="R90" s="140"/>
      <c r="S90" s="140"/>
    </row>
    <row r="91" spans="1:19">
      <c r="A91" s="136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8"/>
      <c r="M91" s="139"/>
      <c r="N91" s="140"/>
      <c r="O91" s="140"/>
      <c r="P91" s="139"/>
      <c r="Q91" s="140"/>
      <c r="R91" s="140"/>
      <c r="S91" s="140"/>
    </row>
    <row r="94" spans="1:19">
      <c r="I94" s="164"/>
      <c r="J94" s="164"/>
    </row>
    <row r="95" spans="1:19">
      <c r="I95" s="164"/>
      <c r="J95" s="164"/>
    </row>
    <row r="96" spans="1:19">
      <c r="I96" s="164"/>
      <c r="J96" s="164"/>
    </row>
    <row r="97" spans="9:10">
      <c r="I97" s="164"/>
      <c r="J97" s="164"/>
    </row>
    <row r="98" spans="9:10">
      <c r="I98" s="164"/>
      <c r="J98" s="164"/>
    </row>
    <row r="99" spans="9:10">
      <c r="I99" s="164"/>
      <c r="J99" s="164"/>
    </row>
    <row r="100" spans="9:10">
      <c r="I100" s="164"/>
      <c r="J100" s="164"/>
    </row>
    <row r="101" spans="9:10">
      <c r="I101" s="164"/>
      <c r="J101" s="164"/>
    </row>
    <row r="102" spans="9:10">
      <c r="I102" s="164"/>
      <c r="J102" s="164"/>
    </row>
    <row r="103" spans="9:10">
      <c r="I103" s="164"/>
      <c r="J103" s="164"/>
    </row>
  </sheetData>
  <mergeCells count="46">
    <mergeCell ref="A79:B79"/>
    <mergeCell ref="A80:B80"/>
    <mergeCell ref="A81:L81"/>
    <mergeCell ref="N36:Q36"/>
    <mergeCell ref="P58:S58"/>
    <mergeCell ref="A78:B78"/>
    <mergeCell ref="C77:E77"/>
    <mergeCell ref="H77:I77"/>
    <mergeCell ref="J77:K77"/>
    <mergeCell ref="C65:C74"/>
    <mergeCell ref="D66:D67"/>
    <mergeCell ref="I94:J103"/>
    <mergeCell ref="N81:O81"/>
    <mergeCell ref="M66:S66"/>
    <mergeCell ref="M68:S68"/>
    <mergeCell ref="M69:S69"/>
    <mergeCell ref="M75:O75"/>
    <mergeCell ref="P75:S75"/>
    <mergeCell ref="Q81:S81"/>
    <mergeCell ref="M4:S5"/>
    <mergeCell ref="B6:B63"/>
    <mergeCell ref="C6:C18"/>
    <mergeCell ref="M8:S8"/>
    <mergeCell ref="M17:S17"/>
    <mergeCell ref="C19:C31"/>
    <mergeCell ref="M31:S31"/>
    <mergeCell ref="C32:C40"/>
    <mergeCell ref="M35:S35"/>
    <mergeCell ref="C41:C50"/>
    <mergeCell ref="M47:S47"/>
    <mergeCell ref="C51:C64"/>
    <mergeCell ref="M53:S53"/>
    <mergeCell ref="M62:S62"/>
    <mergeCell ref="M64:S64"/>
    <mergeCell ref="R36:S36"/>
    <mergeCell ref="G1:L1"/>
    <mergeCell ref="A4:A5"/>
    <mergeCell ref="B4:B5"/>
    <mergeCell ref="C4:C5"/>
    <mergeCell ref="D4:D5"/>
    <mergeCell ref="E4:E5"/>
    <mergeCell ref="F4:F5"/>
    <mergeCell ref="G4:I4"/>
    <mergeCell ref="J4:J5"/>
    <mergeCell ref="K4:K5"/>
    <mergeCell ref="L4:L5"/>
  </mergeCells>
  <conditionalFormatting sqref="E1:E81 E92:E65536">
    <cfRule type="duplicateValues" dxfId="0" priority="1" stopIfTrue="1"/>
  </conditionalFormatting>
  <printOptions horizontalCentered="1" verticalCentered="1"/>
  <pageMargins left="0" right="0" top="0" bottom="0" header="0" footer="0"/>
  <pageSetup paperSize="9" scale="42" orientation="portrait" horizontalDpi="300" verticalDpi="300" r:id="rId1"/>
  <headerFooter alignWithMargins="0">
    <oddHeader>&amp;L&amp;G&amp;C&amp;11Вахтовый журнал/ Тәуіліктік ақпарат&amp;RАО "Озенмунайгаз" НГДУ-1 ЦДНГ-8</oddHeader>
    <oddFooter>&amp;LЖ-165-17-29       Редакция 1&amp;CДействует с 09.11.12&amp;R1из1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67486-5E4F-4D7E-BD41-F7AF0871CD15}">
  <dimension ref="A1:H193"/>
  <sheetViews>
    <sheetView showGridLines="0" tabSelected="1" zoomScale="90" zoomScaleNormal="90" workbookViewId="0">
      <pane ySplit="4" topLeftCell="A187" activePane="bottomLeft" state="frozen"/>
      <selection pane="bottomLeft" activeCell="B191" sqref="B191"/>
    </sheetView>
  </sheetViews>
  <sheetFormatPr defaultRowHeight="14.25"/>
  <cols>
    <col min="1" max="1" width="8" style="116" customWidth="1"/>
    <col min="2" max="2" width="26.28515625" style="116" customWidth="1"/>
    <col min="3" max="3" width="38.85546875" style="116" customWidth="1"/>
    <col min="4" max="4" width="19.42578125" style="116" customWidth="1"/>
    <col min="5" max="5" width="22.85546875" style="116" customWidth="1"/>
    <col min="6" max="6" width="19.42578125" style="116" customWidth="1"/>
    <col min="7" max="7" width="18.28515625" style="116" customWidth="1"/>
    <col min="8" max="8" width="43.42578125" style="116" customWidth="1"/>
    <col min="9" max="16384" width="9.140625" style="116"/>
  </cols>
  <sheetData>
    <row r="1" spans="1:8" ht="27.95" customHeight="1">
      <c r="A1" s="191" t="s">
        <v>181</v>
      </c>
      <c r="B1" s="191"/>
      <c r="C1" s="191"/>
      <c r="D1" s="191"/>
      <c r="E1" s="191"/>
      <c r="F1" s="191"/>
      <c r="G1" s="191"/>
      <c r="H1" s="191"/>
    </row>
    <row r="2" spans="1:8" ht="36" customHeight="1">
      <c r="A2" s="192" t="s">
        <v>180</v>
      </c>
      <c r="B2" s="192"/>
      <c r="C2" s="192"/>
      <c r="D2" s="192"/>
      <c r="E2" s="192"/>
      <c r="F2" s="192"/>
      <c r="G2" s="192"/>
      <c r="H2" s="192"/>
    </row>
    <row r="4" spans="1:8" ht="33.950000000000003" customHeight="1">
      <c r="A4" s="119" t="s">
        <v>179</v>
      </c>
      <c r="B4" s="119" t="s">
        <v>178</v>
      </c>
      <c r="C4" s="119" t="s">
        <v>177</v>
      </c>
      <c r="D4" s="119" t="s">
        <v>176</v>
      </c>
      <c r="E4" s="119" t="s">
        <v>175</v>
      </c>
      <c r="F4" s="119" t="s">
        <v>174</v>
      </c>
      <c r="G4" s="119" t="s">
        <v>173</v>
      </c>
      <c r="H4" s="119" t="s">
        <v>172</v>
      </c>
    </row>
    <row r="5" spans="1:8" ht="27.95" customHeight="1">
      <c r="A5" s="117" t="s">
        <v>171</v>
      </c>
      <c r="B5" s="117" t="s">
        <v>165</v>
      </c>
      <c r="C5" s="117" t="s">
        <v>170</v>
      </c>
      <c r="D5" s="118">
        <v>93</v>
      </c>
      <c r="E5" s="118" t="str">
        <f>'93'!I2</f>
        <v>"            "</v>
      </c>
      <c r="F5" s="117" t="s">
        <v>169</v>
      </c>
      <c r="G5" s="117"/>
      <c r="H5" s="117" t="s">
        <v>168</v>
      </c>
    </row>
    <row r="6" spans="1:8" ht="27.95" customHeight="1">
      <c r="A6" s="117" t="s">
        <v>167</v>
      </c>
      <c r="B6" s="117" t="s">
        <v>165</v>
      </c>
      <c r="C6" s="117" t="s">
        <v>129</v>
      </c>
      <c r="D6" s="118">
        <v>93</v>
      </c>
      <c r="E6" s="118">
        <f>'93'!S2</f>
        <v>0</v>
      </c>
      <c r="F6" s="117" t="s">
        <v>81</v>
      </c>
      <c r="G6" s="117"/>
      <c r="H6" s="117"/>
    </row>
    <row r="7" spans="1:8" ht="27.95" customHeight="1">
      <c r="A7" s="117" t="s">
        <v>166</v>
      </c>
      <c r="B7" s="117" t="s">
        <v>165</v>
      </c>
      <c r="C7" s="117" t="s">
        <v>164</v>
      </c>
      <c r="D7" s="118">
        <v>93</v>
      </c>
      <c r="E7" s="118">
        <f>'93'!Q2</f>
        <v>0</v>
      </c>
      <c r="F7" s="117" t="s">
        <v>81</v>
      </c>
      <c r="G7" s="117"/>
      <c r="H7" s="117"/>
    </row>
    <row r="8" spans="1:8" ht="27.95" customHeight="1">
      <c r="A8" s="117" t="s">
        <v>163</v>
      </c>
      <c r="B8" s="117" t="s">
        <v>152</v>
      </c>
      <c r="C8" s="117" t="s">
        <v>162</v>
      </c>
      <c r="D8" s="118">
        <v>93</v>
      </c>
      <c r="E8" s="118">
        <f>'93'!N6</f>
        <v>0</v>
      </c>
      <c r="F8" s="117" t="s">
        <v>96</v>
      </c>
      <c r="G8" s="117"/>
      <c r="H8" s="117"/>
    </row>
    <row r="9" spans="1:8" ht="27.95" customHeight="1">
      <c r="A9" s="117" t="s">
        <v>161</v>
      </c>
      <c r="B9" s="117" t="s">
        <v>152</v>
      </c>
      <c r="C9" s="117" t="s">
        <v>160</v>
      </c>
      <c r="D9" s="118">
        <v>93</v>
      </c>
      <c r="E9" s="118">
        <f>'93'!P6</f>
        <v>0</v>
      </c>
      <c r="F9" s="117" t="s">
        <v>96</v>
      </c>
      <c r="G9" s="117"/>
      <c r="H9" s="117"/>
    </row>
    <row r="10" spans="1:8" ht="27.95" customHeight="1">
      <c r="A10" s="117" t="s">
        <v>159</v>
      </c>
      <c r="B10" s="117" t="s">
        <v>152</v>
      </c>
      <c r="C10" s="117" t="s">
        <v>158</v>
      </c>
      <c r="D10" s="118">
        <v>93</v>
      </c>
      <c r="E10" s="118">
        <f>'93'!R6</f>
        <v>0</v>
      </c>
      <c r="F10" s="117" t="s">
        <v>96</v>
      </c>
      <c r="G10" s="117"/>
      <c r="H10" s="117"/>
    </row>
    <row r="11" spans="1:8" ht="27.95" customHeight="1">
      <c r="A11" s="117" t="s">
        <v>157</v>
      </c>
      <c r="B11" s="117" t="s">
        <v>152</v>
      </c>
      <c r="C11" s="117" t="s">
        <v>156</v>
      </c>
      <c r="D11" s="118">
        <v>93</v>
      </c>
      <c r="E11" s="118">
        <f>'93'!N7</f>
        <v>0</v>
      </c>
      <c r="F11" s="117" t="s">
        <v>96</v>
      </c>
      <c r="G11" s="117"/>
      <c r="H11" s="117"/>
    </row>
    <row r="12" spans="1:8" ht="27.95" customHeight="1">
      <c r="A12" s="117" t="s">
        <v>155</v>
      </c>
      <c r="B12" s="117" t="s">
        <v>152</v>
      </c>
      <c r="C12" s="117" t="s">
        <v>154</v>
      </c>
      <c r="D12" s="118">
        <v>93</v>
      </c>
      <c r="E12" s="118">
        <f>'93'!P7</f>
        <v>0</v>
      </c>
      <c r="F12" s="117" t="s">
        <v>96</v>
      </c>
      <c r="G12" s="117"/>
      <c r="H12" s="117"/>
    </row>
    <row r="13" spans="1:8" ht="27.95" customHeight="1">
      <c r="A13" s="117" t="s">
        <v>153</v>
      </c>
      <c r="B13" s="117" t="s">
        <v>152</v>
      </c>
      <c r="C13" s="117" t="s">
        <v>151</v>
      </c>
      <c r="D13" s="118">
        <v>93</v>
      </c>
      <c r="E13" s="118">
        <f>'93'!R7</f>
        <v>0</v>
      </c>
      <c r="F13" s="117" t="s">
        <v>96</v>
      </c>
      <c r="G13" s="117"/>
      <c r="H13" s="117"/>
    </row>
    <row r="14" spans="1:8" ht="27.95" customHeight="1">
      <c r="A14" s="117" t="s">
        <v>150</v>
      </c>
      <c r="B14" s="117" t="s">
        <v>145</v>
      </c>
      <c r="C14" s="117" t="s">
        <v>149</v>
      </c>
      <c r="D14" s="118">
        <v>93</v>
      </c>
      <c r="E14" s="118">
        <f>'93'!J6</f>
        <v>0</v>
      </c>
      <c r="F14" s="117" t="s">
        <v>137</v>
      </c>
      <c r="G14" s="117" t="s">
        <v>143</v>
      </c>
      <c r="H14" s="117"/>
    </row>
    <row r="15" spans="1:8" ht="27.95" customHeight="1">
      <c r="A15" s="117" t="s">
        <v>148</v>
      </c>
      <c r="B15" s="117" t="s">
        <v>145</v>
      </c>
      <c r="C15" s="117" t="s">
        <v>147</v>
      </c>
      <c r="D15" s="118">
        <v>93</v>
      </c>
      <c r="E15" s="118">
        <f>'93'!K6</f>
        <v>0</v>
      </c>
      <c r="F15" s="117" t="s">
        <v>137</v>
      </c>
      <c r="G15" s="117" t="s">
        <v>143</v>
      </c>
      <c r="H15" s="117"/>
    </row>
    <row r="16" spans="1:8" ht="27.95" customHeight="1">
      <c r="A16" s="117" t="s">
        <v>146</v>
      </c>
      <c r="B16" s="117" t="s">
        <v>145</v>
      </c>
      <c r="C16" s="117" t="s">
        <v>144</v>
      </c>
      <c r="D16" s="118">
        <v>93</v>
      </c>
      <c r="E16" s="118">
        <f>'93'!L6</f>
        <v>0</v>
      </c>
      <c r="F16" s="117" t="s">
        <v>81</v>
      </c>
      <c r="G16" s="117" t="s">
        <v>143</v>
      </c>
      <c r="H16" s="117" t="s">
        <v>142</v>
      </c>
    </row>
    <row r="17" spans="1:8" ht="27.95" customHeight="1">
      <c r="A17" s="117" t="s">
        <v>141</v>
      </c>
      <c r="B17" s="117" t="s">
        <v>24</v>
      </c>
      <c r="C17" s="117" t="s">
        <v>140</v>
      </c>
      <c r="D17" s="118">
        <v>93</v>
      </c>
      <c r="E17" s="118">
        <f>'93'!M10</f>
        <v>0</v>
      </c>
      <c r="F17" s="117" t="s">
        <v>81</v>
      </c>
      <c r="G17" s="117"/>
      <c r="H17" s="117" t="s">
        <v>182</v>
      </c>
    </row>
    <row r="18" spans="1:8" ht="27.95" customHeight="1">
      <c r="A18" s="117" t="s">
        <v>139</v>
      </c>
      <c r="B18" s="117" t="s">
        <v>24</v>
      </c>
      <c r="C18" s="117" t="s">
        <v>140</v>
      </c>
      <c r="D18" s="118">
        <v>93</v>
      </c>
      <c r="E18" s="118">
        <f>'93'!M11</f>
        <v>0</v>
      </c>
      <c r="F18" s="117" t="s">
        <v>81</v>
      </c>
      <c r="G18" s="117"/>
      <c r="H18" s="117"/>
    </row>
    <row r="19" spans="1:8" ht="27.95" customHeight="1">
      <c r="A19" s="117" t="s">
        <v>136</v>
      </c>
      <c r="B19" s="117" t="s">
        <v>24</v>
      </c>
      <c r="C19" s="117" t="s">
        <v>140</v>
      </c>
      <c r="D19" s="118">
        <v>93</v>
      </c>
      <c r="E19" s="118">
        <f>'93'!M12</f>
        <v>0</v>
      </c>
      <c r="F19" s="117" t="s">
        <v>81</v>
      </c>
      <c r="G19" s="117"/>
      <c r="H19" s="117"/>
    </row>
    <row r="20" spans="1:8" ht="27.95" customHeight="1">
      <c r="A20" s="117" t="s">
        <v>134</v>
      </c>
      <c r="B20" s="117" t="s">
        <v>24</v>
      </c>
      <c r="C20" s="117" t="s">
        <v>140</v>
      </c>
      <c r="D20" s="118">
        <v>93</v>
      </c>
      <c r="E20" s="118">
        <f>'93'!M13</f>
        <v>0</v>
      </c>
      <c r="F20" s="117" t="s">
        <v>81</v>
      </c>
      <c r="G20" s="117"/>
      <c r="H20" s="117"/>
    </row>
    <row r="21" spans="1:8" ht="27.95" customHeight="1">
      <c r="A21" s="117" t="s">
        <v>132</v>
      </c>
      <c r="B21" s="117" t="s">
        <v>24</v>
      </c>
      <c r="C21" s="117" t="s">
        <v>140</v>
      </c>
      <c r="D21" s="118">
        <v>93</v>
      </c>
      <c r="E21" s="118">
        <f>'93'!M14</f>
        <v>0</v>
      </c>
      <c r="F21" s="117" t="s">
        <v>81</v>
      </c>
      <c r="G21" s="117"/>
      <c r="H21" s="117"/>
    </row>
    <row r="22" spans="1:8" ht="27.95" customHeight="1">
      <c r="A22" s="117" t="s">
        <v>130</v>
      </c>
      <c r="B22" s="117" t="s">
        <v>24</v>
      </c>
      <c r="C22" s="117" t="s">
        <v>140</v>
      </c>
      <c r="D22" s="118">
        <v>93</v>
      </c>
      <c r="E22" s="118">
        <f>'93'!M15</f>
        <v>0</v>
      </c>
      <c r="F22" s="117" t="s">
        <v>81</v>
      </c>
      <c r="G22" s="117"/>
      <c r="H22" s="117"/>
    </row>
    <row r="23" spans="1:8" ht="27.95" customHeight="1">
      <c r="A23" s="117" t="s">
        <v>127</v>
      </c>
      <c r="B23" s="117" t="s">
        <v>24</v>
      </c>
      <c r="C23" s="117" t="s">
        <v>140</v>
      </c>
      <c r="D23" s="118">
        <v>93</v>
      </c>
      <c r="E23" s="118">
        <f>'93'!M16</f>
        <v>0</v>
      </c>
      <c r="F23" s="117" t="s">
        <v>81</v>
      </c>
      <c r="G23" s="117"/>
      <c r="H23" s="117"/>
    </row>
    <row r="24" spans="1:8" ht="27.95" customHeight="1">
      <c r="A24" s="117" t="s">
        <v>125</v>
      </c>
      <c r="B24" s="117" t="s">
        <v>24</v>
      </c>
      <c r="C24" s="117" t="s">
        <v>140</v>
      </c>
      <c r="D24" s="118">
        <v>93</v>
      </c>
      <c r="E24" s="118">
        <f>'93'!P10</f>
        <v>0</v>
      </c>
      <c r="F24" s="117" t="s">
        <v>81</v>
      </c>
      <c r="G24" s="117"/>
      <c r="H24" s="117" t="s">
        <v>183</v>
      </c>
    </row>
    <row r="25" spans="1:8" ht="27.95" customHeight="1">
      <c r="A25" s="117" t="s">
        <v>121</v>
      </c>
      <c r="B25" s="117" t="s">
        <v>24</v>
      </c>
      <c r="C25" s="117" t="s">
        <v>140</v>
      </c>
      <c r="D25" s="118">
        <v>93</v>
      </c>
      <c r="E25" s="118">
        <f>'93'!P11</f>
        <v>0</v>
      </c>
      <c r="F25" s="117" t="s">
        <v>81</v>
      </c>
      <c r="G25" s="117"/>
      <c r="H25" s="117"/>
    </row>
    <row r="26" spans="1:8" ht="27.95" customHeight="1">
      <c r="A26" s="117" t="s">
        <v>120</v>
      </c>
      <c r="B26" s="117" t="s">
        <v>24</v>
      </c>
      <c r="C26" s="117" t="s">
        <v>140</v>
      </c>
      <c r="D26" s="118">
        <v>93</v>
      </c>
      <c r="E26" s="118">
        <f>'93'!P12</f>
        <v>0</v>
      </c>
      <c r="F26" s="117" t="s">
        <v>81</v>
      </c>
      <c r="G26" s="117"/>
      <c r="H26" s="117"/>
    </row>
    <row r="27" spans="1:8" ht="27.95" customHeight="1">
      <c r="A27" s="117" t="s">
        <v>118</v>
      </c>
      <c r="B27" s="117" t="s">
        <v>24</v>
      </c>
      <c r="C27" s="117" t="s">
        <v>140</v>
      </c>
      <c r="D27" s="118">
        <v>93</v>
      </c>
      <c r="E27" s="118">
        <f>'93'!P13</f>
        <v>0</v>
      </c>
      <c r="F27" s="117" t="s">
        <v>81</v>
      </c>
      <c r="G27" s="117"/>
      <c r="H27" s="117"/>
    </row>
    <row r="28" spans="1:8" ht="27.95" customHeight="1">
      <c r="A28" s="117" t="s">
        <v>115</v>
      </c>
      <c r="B28" s="117" t="s">
        <v>24</v>
      </c>
      <c r="C28" s="117" t="s">
        <v>140</v>
      </c>
      <c r="D28" s="118">
        <v>93</v>
      </c>
      <c r="E28" s="118">
        <f>'93'!P14</f>
        <v>0</v>
      </c>
      <c r="F28" s="117" t="s">
        <v>81</v>
      </c>
      <c r="G28" s="117"/>
      <c r="H28" s="117"/>
    </row>
    <row r="29" spans="1:8" ht="27.95" customHeight="1">
      <c r="A29" s="117" t="s">
        <v>113</v>
      </c>
      <c r="B29" s="117" t="s">
        <v>24</v>
      </c>
      <c r="C29" s="117" t="s">
        <v>140</v>
      </c>
      <c r="D29" s="118">
        <v>93</v>
      </c>
      <c r="E29" s="118">
        <f>'93'!P15</f>
        <v>0</v>
      </c>
      <c r="F29" s="117" t="s">
        <v>81</v>
      </c>
      <c r="G29" s="117"/>
      <c r="H29" s="117"/>
    </row>
    <row r="30" spans="1:8" ht="27.95" customHeight="1">
      <c r="A30" s="117" t="s">
        <v>111</v>
      </c>
      <c r="B30" s="117" t="s">
        <v>24</v>
      </c>
      <c r="C30" s="117" t="s">
        <v>140</v>
      </c>
      <c r="D30" s="118">
        <v>93</v>
      </c>
      <c r="E30" s="118">
        <f>'93'!P16</f>
        <v>0</v>
      </c>
      <c r="F30" s="117" t="s">
        <v>81</v>
      </c>
      <c r="G30" s="117"/>
      <c r="H30" s="117"/>
    </row>
    <row r="31" spans="1:8" ht="27.95" customHeight="1">
      <c r="A31" s="117" t="s">
        <v>109</v>
      </c>
      <c r="B31" s="117" t="s">
        <v>24</v>
      </c>
      <c r="C31" s="117" t="s">
        <v>138</v>
      </c>
      <c r="D31" s="118">
        <v>93</v>
      </c>
      <c r="E31" s="118">
        <f>'93'!N10</f>
        <v>0</v>
      </c>
      <c r="F31" s="117" t="s">
        <v>137</v>
      </c>
      <c r="G31" s="117"/>
      <c r="H31" s="117" t="s">
        <v>182</v>
      </c>
    </row>
    <row r="32" spans="1:8" ht="27.95" customHeight="1">
      <c r="A32" s="117" t="s">
        <v>107</v>
      </c>
      <c r="B32" s="117" t="s">
        <v>24</v>
      </c>
      <c r="C32" s="117" t="s">
        <v>138</v>
      </c>
      <c r="D32" s="118">
        <v>93</v>
      </c>
      <c r="E32" s="118">
        <f>'93'!N11</f>
        <v>0</v>
      </c>
      <c r="F32" s="117" t="s">
        <v>137</v>
      </c>
      <c r="G32" s="117"/>
      <c r="H32" s="117"/>
    </row>
    <row r="33" spans="1:8" ht="27.95" customHeight="1">
      <c r="A33" s="117" t="s">
        <v>103</v>
      </c>
      <c r="B33" s="117" t="s">
        <v>24</v>
      </c>
      <c r="C33" s="117" t="s">
        <v>138</v>
      </c>
      <c r="D33" s="118">
        <v>93</v>
      </c>
      <c r="E33" s="118">
        <f>'93'!N12</f>
        <v>0</v>
      </c>
      <c r="F33" s="117" t="s">
        <v>137</v>
      </c>
      <c r="G33" s="117"/>
      <c r="H33" s="117"/>
    </row>
    <row r="34" spans="1:8" ht="27.95" customHeight="1">
      <c r="A34" s="117" t="s">
        <v>101</v>
      </c>
      <c r="B34" s="117" t="s">
        <v>24</v>
      </c>
      <c r="C34" s="117" t="s">
        <v>138</v>
      </c>
      <c r="D34" s="118">
        <v>93</v>
      </c>
      <c r="E34" s="118">
        <f>'93'!N13</f>
        <v>0</v>
      </c>
      <c r="F34" s="117" t="s">
        <v>137</v>
      </c>
      <c r="G34" s="117"/>
      <c r="H34" s="117"/>
    </row>
    <row r="35" spans="1:8" ht="27.95" customHeight="1">
      <c r="A35" s="117" t="s">
        <v>99</v>
      </c>
      <c r="B35" s="117" t="s">
        <v>24</v>
      </c>
      <c r="C35" s="117" t="s">
        <v>138</v>
      </c>
      <c r="D35" s="118">
        <v>93</v>
      </c>
      <c r="E35" s="118">
        <f>'93'!N14</f>
        <v>0</v>
      </c>
      <c r="F35" s="117" t="s">
        <v>137</v>
      </c>
      <c r="G35" s="117"/>
      <c r="H35" s="117"/>
    </row>
    <row r="36" spans="1:8" ht="27.95" customHeight="1">
      <c r="A36" s="117" t="s">
        <v>94</v>
      </c>
      <c r="B36" s="117" t="s">
        <v>24</v>
      </c>
      <c r="C36" s="117" t="s">
        <v>138</v>
      </c>
      <c r="D36" s="118">
        <v>93</v>
      </c>
      <c r="E36" s="118">
        <f>'93'!N15</f>
        <v>0</v>
      </c>
      <c r="F36" s="117" t="s">
        <v>137</v>
      </c>
      <c r="G36" s="117"/>
      <c r="H36" s="117"/>
    </row>
    <row r="37" spans="1:8" ht="27.95" customHeight="1">
      <c r="A37" s="117" t="s">
        <v>90</v>
      </c>
      <c r="B37" s="117" t="s">
        <v>24</v>
      </c>
      <c r="C37" s="117" t="s">
        <v>138</v>
      </c>
      <c r="D37" s="118">
        <v>93</v>
      </c>
      <c r="E37" s="118">
        <f>'93'!N16</f>
        <v>0</v>
      </c>
      <c r="F37" s="117" t="s">
        <v>137</v>
      </c>
      <c r="G37" s="117"/>
      <c r="H37" s="117"/>
    </row>
    <row r="38" spans="1:8" ht="27.95" customHeight="1">
      <c r="A38" s="117" t="s">
        <v>88</v>
      </c>
      <c r="B38" s="117" t="s">
        <v>24</v>
      </c>
      <c r="C38" s="117" t="s">
        <v>138</v>
      </c>
      <c r="D38" s="118">
        <v>93</v>
      </c>
      <c r="E38" s="118">
        <f>'93'!Q10</f>
        <v>0</v>
      </c>
      <c r="F38" s="117" t="s">
        <v>137</v>
      </c>
      <c r="G38" s="117"/>
      <c r="H38" s="117" t="s">
        <v>183</v>
      </c>
    </row>
    <row r="39" spans="1:8" ht="27.95" customHeight="1">
      <c r="A39" s="117" t="s">
        <v>85</v>
      </c>
      <c r="B39" s="117" t="s">
        <v>24</v>
      </c>
      <c r="C39" s="117" t="s">
        <v>138</v>
      </c>
      <c r="D39" s="118">
        <v>93</v>
      </c>
      <c r="E39" s="118">
        <f>'93'!Q11</f>
        <v>0</v>
      </c>
      <c r="F39" s="117" t="s">
        <v>137</v>
      </c>
      <c r="G39" s="117"/>
      <c r="H39" s="117"/>
    </row>
    <row r="40" spans="1:8" ht="27.95" customHeight="1">
      <c r="A40" s="117" t="s">
        <v>83</v>
      </c>
      <c r="B40" s="117" t="s">
        <v>24</v>
      </c>
      <c r="C40" s="117" t="s">
        <v>138</v>
      </c>
      <c r="D40" s="118">
        <v>93</v>
      </c>
      <c r="E40" s="118">
        <f>'93'!Q12</f>
        <v>0</v>
      </c>
      <c r="F40" s="117" t="s">
        <v>137</v>
      </c>
      <c r="G40" s="117"/>
      <c r="H40" s="117"/>
    </row>
    <row r="41" spans="1:8" ht="27.95" customHeight="1">
      <c r="A41" s="117" t="s">
        <v>190</v>
      </c>
      <c r="B41" s="117" t="s">
        <v>24</v>
      </c>
      <c r="C41" s="117" t="s">
        <v>138</v>
      </c>
      <c r="D41" s="118">
        <v>93</v>
      </c>
      <c r="E41" s="118">
        <f>'93'!Q13</f>
        <v>0</v>
      </c>
      <c r="F41" s="117" t="s">
        <v>137</v>
      </c>
      <c r="G41" s="117"/>
      <c r="H41" s="117"/>
    </row>
    <row r="42" spans="1:8" ht="27.95" customHeight="1">
      <c r="A42" s="117" t="s">
        <v>191</v>
      </c>
      <c r="B42" s="117" t="s">
        <v>24</v>
      </c>
      <c r="C42" s="117" t="s">
        <v>138</v>
      </c>
      <c r="D42" s="118">
        <v>93</v>
      </c>
      <c r="E42" s="118">
        <f>'93'!Q14</f>
        <v>0</v>
      </c>
      <c r="F42" s="117" t="s">
        <v>137</v>
      </c>
      <c r="G42" s="117"/>
      <c r="H42" s="117"/>
    </row>
    <row r="43" spans="1:8" ht="27.95" customHeight="1">
      <c r="A43" s="117" t="s">
        <v>192</v>
      </c>
      <c r="B43" s="117" t="s">
        <v>24</v>
      </c>
      <c r="C43" s="117" t="s">
        <v>138</v>
      </c>
      <c r="D43" s="118">
        <v>93</v>
      </c>
      <c r="E43" s="118">
        <f>'93'!Q15</f>
        <v>0</v>
      </c>
      <c r="F43" s="117" t="s">
        <v>137</v>
      </c>
      <c r="G43" s="117"/>
      <c r="H43" s="117"/>
    </row>
    <row r="44" spans="1:8" ht="27.95" customHeight="1">
      <c r="A44" s="117" t="s">
        <v>193</v>
      </c>
      <c r="B44" s="117" t="s">
        <v>24</v>
      </c>
      <c r="C44" s="117" t="s">
        <v>138</v>
      </c>
      <c r="D44" s="118">
        <v>93</v>
      </c>
      <c r="E44" s="118">
        <f>'93'!Q16</f>
        <v>0</v>
      </c>
      <c r="F44" s="117" t="s">
        <v>137</v>
      </c>
      <c r="G44" s="117"/>
      <c r="H44" s="117"/>
    </row>
    <row r="45" spans="1:8" ht="27.95" customHeight="1">
      <c r="A45" s="117" t="s">
        <v>194</v>
      </c>
      <c r="B45" s="117" t="s">
        <v>25</v>
      </c>
      <c r="C45" s="117" t="s">
        <v>135</v>
      </c>
      <c r="D45" s="118">
        <v>93</v>
      </c>
      <c r="E45" s="118">
        <f>'93'!M19</f>
        <v>0</v>
      </c>
      <c r="F45" s="117" t="s">
        <v>81</v>
      </c>
      <c r="G45" s="117"/>
      <c r="H45" s="117" t="s">
        <v>182</v>
      </c>
    </row>
    <row r="46" spans="1:8" ht="27.95" customHeight="1">
      <c r="A46" s="117" t="s">
        <v>195</v>
      </c>
      <c r="B46" s="117" t="s">
        <v>25</v>
      </c>
      <c r="C46" s="117" t="s">
        <v>135</v>
      </c>
      <c r="D46" s="118">
        <v>93</v>
      </c>
      <c r="E46" s="118">
        <f>'93'!M20</f>
        <v>0</v>
      </c>
      <c r="F46" s="117" t="s">
        <v>81</v>
      </c>
      <c r="G46" s="117"/>
      <c r="H46" s="117"/>
    </row>
    <row r="47" spans="1:8" ht="27.95" customHeight="1">
      <c r="A47" s="117" t="s">
        <v>196</v>
      </c>
      <c r="B47" s="117" t="s">
        <v>25</v>
      </c>
      <c r="C47" s="117" t="s">
        <v>135</v>
      </c>
      <c r="D47" s="118">
        <v>93</v>
      </c>
      <c r="E47" s="118">
        <f>'93'!M21</f>
        <v>0</v>
      </c>
      <c r="F47" s="117" t="s">
        <v>81</v>
      </c>
      <c r="G47" s="117"/>
      <c r="H47" s="117"/>
    </row>
    <row r="48" spans="1:8" ht="27.95" customHeight="1">
      <c r="A48" s="117" t="s">
        <v>197</v>
      </c>
      <c r="B48" s="117" t="s">
        <v>25</v>
      </c>
      <c r="C48" s="117" t="s">
        <v>135</v>
      </c>
      <c r="D48" s="118">
        <v>93</v>
      </c>
      <c r="E48" s="118">
        <f>'93'!M22</f>
        <v>0</v>
      </c>
      <c r="F48" s="117" t="s">
        <v>81</v>
      </c>
      <c r="G48" s="117"/>
      <c r="H48" s="117"/>
    </row>
    <row r="49" spans="1:8" ht="27.95" customHeight="1">
      <c r="A49" s="117" t="s">
        <v>198</v>
      </c>
      <c r="B49" s="117" t="s">
        <v>25</v>
      </c>
      <c r="C49" s="117" t="s">
        <v>135</v>
      </c>
      <c r="D49" s="118">
        <v>93</v>
      </c>
      <c r="E49" s="118">
        <f>'93'!M23</f>
        <v>0</v>
      </c>
      <c r="F49" s="117" t="s">
        <v>81</v>
      </c>
      <c r="G49" s="117"/>
      <c r="H49" s="117"/>
    </row>
    <row r="50" spans="1:8" ht="27.95" customHeight="1">
      <c r="A50" s="117" t="s">
        <v>199</v>
      </c>
      <c r="B50" s="117" t="s">
        <v>25</v>
      </c>
      <c r="C50" s="117" t="s">
        <v>135</v>
      </c>
      <c r="D50" s="118">
        <v>93</v>
      </c>
      <c r="E50" s="118">
        <f>'93'!M24</f>
        <v>0</v>
      </c>
      <c r="F50" s="117" t="s">
        <v>81</v>
      </c>
      <c r="G50" s="117"/>
      <c r="H50" s="117"/>
    </row>
    <row r="51" spans="1:8" ht="27.95" customHeight="1">
      <c r="A51" s="117" t="s">
        <v>200</v>
      </c>
      <c r="B51" s="117" t="s">
        <v>25</v>
      </c>
      <c r="C51" s="117" t="s">
        <v>135</v>
      </c>
      <c r="D51" s="118">
        <v>93</v>
      </c>
      <c r="E51" s="118">
        <f>'93'!M25</f>
        <v>0</v>
      </c>
      <c r="F51" s="117" t="s">
        <v>81</v>
      </c>
      <c r="G51" s="117"/>
      <c r="H51" s="117"/>
    </row>
    <row r="52" spans="1:8" ht="27.95" customHeight="1">
      <c r="A52" s="117" t="s">
        <v>201</v>
      </c>
      <c r="B52" s="117" t="s">
        <v>25</v>
      </c>
      <c r="C52" s="117" t="s">
        <v>135</v>
      </c>
      <c r="D52" s="118">
        <v>93</v>
      </c>
      <c r="E52" s="118">
        <f>'93'!M26</f>
        <v>0</v>
      </c>
      <c r="F52" s="117" t="s">
        <v>81</v>
      </c>
      <c r="G52" s="117"/>
      <c r="H52" s="117"/>
    </row>
    <row r="53" spans="1:8" ht="27.95" customHeight="1">
      <c r="A53" s="117" t="s">
        <v>202</v>
      </c>
      <c r="B53" s="117" t="s">
        <v>25</v>
      </c>
      <c r="C53" s="117" t="s">
        <v>135</v>
      </c>
      <c r="D53" s="118">
        <v>93</v>
      </c>
      <c r="E53" s="118">
        <f>'93'!M27</f>
        <v>0</v>
      </c>
      <c r="F53" s="117" t="s">
        <v>81</v>
      </c>
      <c r="G53" s="117"/>
      <c r="H53" s="117"/>
    </row>
    <row r="54" spans="1:8" ht="27.95" customHeight="1">
      <c r="A54" s="117" t="s">
        <v>203</v>
      </c>
      <c r="B54" s="117" t="s">
        <v>25</v>
      </c>
      <c r="C54" s="117" t="s">
        <v>135</v>
      </c>
      <c r="D54" s="118">
        <v>93</v>
      </c>
      <c r="E54" s="118">
        <f>'93'!M28</f>
        <v>0</v>
      </c>
      <c r="F54" s="117" t="s">
        <v>81</v>
      </c>
      <c r="G54" s="117"/>
      <c r="H54" s="117"/>
    </row>
    <row r="55" spans="1:8" ht="27.95" customHeight="1">
      <c r="A55" s="117" t="s">
        <v>204</v>
      </c>
      <c r="B55" s="117" t="s">
        <v>25</v>
      </c>
      <c r="C55" s="117" t="s">
        <v>135</v>
      </c>
      <c r="D55" s="118">
        <v>93</v>
      </c>
      <c r="E55" s="118">
        <f>'93'!M29</f>
        <v>0</v>
      </c>
      <c r="F55" s="117" t="s">
        <v>81</v>
      </c>
      <c r="G55" s="117"/>
      <c r="H55" s="117"/>
    </row>
    <row r="56" spans="1:8" ht="27.95" customHeight="1">
      <c r="A56" s="117" t="s">
        <v>205</v>
      </c>
      <c r="B56" s="117" t="s">
        <v>25</v>
      </c>
      <c r="C56" s="117" t="s">
        <v>135</v>
      </c>
      <c r="D56" s="118">
        <v>93</v>
      </c>
      <c r="E56" s="118">
        <f>'93'!M30</f>
        <v>0</v>
      </c>
      <c r="F56" s="117" t="s">
        <v>81</v>
      </c>
      <c r="G56" s="117"/>
      <c r="H56" s="117"/>
    </row>
    <row r="57" spans="1:8" ht="27.95" customHeight="1">
      <c r="A57" s="117" t="s">
        <v>206</v>
      </c>
      <c r="B57" s="117" t="s">
        <v>25</v>
      </c>
      <c r="C57" s="117" t="s">
        <v>135</v>
      </c>
      <c r="D57" s="118">
        <v>93</v>
      </c>
      <c r="E57" s="118">
        <f>'93'!P19</f>
        <v>0</v>
      </c>
      <c r="F57" s="117" t="s">
        <v>81</v>
      </c>
      <c r="G57" s="117"/>
      <c r="H57" s="117" t="s">
        <v>183</v>
      </c>
    </row>
    <row r="58" spans="1:8" ht="27.95" customHeight="1">
      <c r="A58" s="117" t="s">
        <v>207</v>
      </c>
      <c r="B58" s="117" t="s">
        <v>25</v>
      </c>
      <c r="C58" s="117" t="s">
        <v>135</v>
      </c>
      <c r="D58" s="118">
        <v>93</v>
      </c>
      <c r="E58" s="118">
        <f>'93'!P20</f>
        <v>0</v>
      </c>
      <c r="F58" s="117" t="s">
        <v>81</v>
      </c>
      <c r="G58" s="117"/>
      <c r="H58" s="117"/>
    </row>
    <row r="59" spans="1:8" ht="27.95" customHeight="1">
      <c r="A59" s="117" t="s">
        <v>208</v>
      </c>
      <c r="B59" s="117" t="s">
        <v>25</v>
      </c>
      <c r="C59" s="117" t="s">
        <v>135</v>
      </c>
      <c r="D59" s="118">
        <v>93</v>
      </c>
      <c r="E59" s="118">
        <f>'93'!P21</f>
        <v>0</v>
      </c>
      <c r="F59" s="117" t="s">
        <v>81</v>
      </c>
      <c r="G59" s="117"/>
      <c r="H59" s="117"/>
    </row>
    <row r="60" spans="1:8" ht="27.95" customHeight="1">
      <c r="A60" s="117" t="s">
        <v>209</v>
      </c>
      <c r="B60" s="117" t="s">
        <v>25</v>
      </c>
      <c r="C60" s="117" t="s">
        <v>135</v>
      </c>
      <c r="D60" s="118">
        <v>93</v>
      </c>
      <c r="E60" s="118">
        <f>'93'!P22</f>
        <v>0</v>
      </c>
      <c r="F60" s="117" t="s">
        <v>81</v>
      </c>
      <c r="G60" s="117"/>
      <c r="H60" s="117"/>
    </row>
    <row r="61" spans="1:8" ht="27.95" customHeight="1">
      <c r="A61" s="117" t="s">
        <v>210</v>
      </c>
      <c r="B61" s="117" t="s">
        <v>25</v>
      </c>
      <c r="C61" s="117" t="s">
        <v>135</v>
      </c>
      <c r="D61" s="118">
        <v>93</v>
      </c>
      <c r="E61" s="118">
        <f>'93'!P23</f>
        <v>0</v>
      </c>
      <c r="F61" s="117" t="s">
        <v>81</v>
      </c>
      <c r="G61" s="117"/>
      <c r="H61" s="117"/>
    </row>
    <row r="62" spans="1:8" ht="27.95" customHeight="1">
      <c r="A62" s="117" t="s">
        <v>211</v>
      </c>
      <c r="B62" s="117" t="s">
        <v>25</v>
      </c>
      <c r="C62" s="117" t="s">
        <v>135</v>
      </c>
      <c r="D62" s="118">
        <v>93</v>
      </c>
      <c r="E62" s="118">
        <f>'93'!P24</f>
        <v>0</v>
      </c>
      <c r="F62" s="117" t="s">
        <v>81</v>
      </c>
      <c r="G62" s="117"/>
      <c r="H62" s="117"/>
    </row>
    <row r="63" spans="1:8" ht="27.95" customHeight="1">
      <c r="A63" s="117" t="s">
        <v>212</v>
      </c>
      <c r="B63" s="117" t="s">
        <v>25</v>
      </c>
      <c r="C63" s="117" t="s">
        <v>135</v>
      </c>
      <c r="D63" s="118">
        <v>93</v>
      </c>
      <c r="E63" s="118">
        <f>'93'!P25</f>
        <v>0</v>
      </c>
      <c r="F63" s="117" t="s">
        <v>81</v>
      </c>
      <c r="G63" s="117"/>
      <c r="H63" s="117"/>
    </row>
    <row r="64" spans="1:8" ht="27.95" customHeight="1">
      <c r="A64" s="117" t="s">
        <v>213</v>
      </c>
      <c r="B64" s="117" t="s">
        <v>25</v>
      </c>
      <c r="C64" s="117" t="s">
        <v>135</v>
      </c>
      <c r="D64" s="118">
        <v>93</v>
      </c>
      <c r="E64" s="118">
        <f>'93'!P26</f>
        <v>0</v>
      </c>
      <c r="F64" s="117" t="s">
        <v>81</v>
      </c>
      <c r="G64" s="117"/>
      <c r="H64" s="117"/>
    </row>
    <row r="65" spans="1:8" ht="27.95" customHeight="1">
      <c r="A65" s="117" t="s">
        <v>214</v>
      </c>
      <c r="B65" s="117" t="s">
        <v>25</v>
      </c>
      <c r="C65" s="117" t="s">
        <v>135</v>
      </c>
      <c r="D65" s="118">
        <v>93</v>
      </c>
      <c r="E65" s="118">
        <f>'93'!P27</f>
        <v>0</v>
      </c>
      <c r="F65" s="117" t="s">
        <v>81</v>
      </c>
      <c r="G65" s="117"/>
      <c r="H65" s="117"/>
    </row>
    <row r="66" spans="1:8" ht="27.95" customHeight="1">
      <c r="A66" s="117" t="s">
        <v>215</v>
      </c>
      <c r="B66" s="117" t="s">
        <v>25</v>
      </c>
      <c r="C66" s="117" t="s">
        <v>135</v>
      </c>
      <c r="D66" s="118">
        <v>93</v>
      </c>
      <c r="E66" s="118">
        <f>'93'!P28</f>
        <v>0</v>
      </c>
      <c r="F66" s="117" t="s">
        <v>81</v>
      </c>
      <c r="G66" s="117"/>
      <c r="H66" s="117"/>
    </row>
    <row r="67" spans="1:8" ht="27.95" customHeight="1">
      <c r="A67" s="117" t="s">
        <v>216</v>
      </c>
      <c r="B67" s="117" t="s">
        <v>25</v>
      </c>
      <c r="C67" s="117" t="s">
        <v>135</v>
      </c>
      <c r="D67" s="118">
        <v>93</v>
      </c>
      <c r="E67" s="118">
        <f>'93'!P29</f>
        <v>0</v>
      </c>
      <c r="F67" s="117" t="s">
        <v>81</v>
      </c>
      <c r="G67" s="117"/>
      <c r="H67" s="117"/>
    </row>
    <row r="68" spans="1:8" ht="27.95" customHeight="1">
      <c r="A68" s="117" t="s">
        <v>217</v>
      </c>
      <c r="B68" s="117" t="s">
        <v>25</v>
      </c>
      <c r="C68" s="117" t="s">
        <v>135</v>
      </c>
      <c r="D68" s="118">
        <v>93</v>
      </c>
      <c r="E68" s="118">
        <f>'93'!P30</f>
        <v>0</v>
      </c>
      <c r="F68" s="117" t="s">
        <v>81</v>
      </c>
      <c r="G68" s="117"/>
      <c r="H68" s="117"/>
    </row>
    <row r="69" spans="1:8" ht="27.95" customHeight="1">
      <c r="A69" s="117" t="s">
        <v>218</v>
      </c>
      <c r="B69" s="117" t="s">
        <v>25</v>
      </c>
      <c r="C69" s="117" t="s">
        <v>133</v>
      </c>
      <c r="D69" s="118">
        <v>93</v>
      </c>
      <c r="E69" s="118">
        <f>'93'!N19</f>
        <v>0</v>
      </c>
      <c r="F69" s="117" t="s">
        <v>86</v>
      </c>
      <c r="G69" s="117"/>
      <c r="H69" s="117" t="s">
        <v>182</v>
      </c>
    </row>
    <row r="70" spans="1:8" ht="27.95" customHeight="1">
      <c r="A70" s="117" t="s">
        <v>219</v>
      </c>
      <c r="B70" s="117" t="s">
        <v>25</v>
      </c>
      <c r="C70" s="117" t="s">
        <v>133</v>
      </c>
      <c r="D70" s="118">
        <v>93</v>
      </c>
      <c r="E70" s="118">
        <f>'93'!N20</f>
        <v>0</v>
      </c>
      <c r="F70" s="117" t="s">
        <v>86</v>
      </c>
      <c r="G70" s="117"/>
      <c r="H70" s="117"/>
    </row>
    <row r="71" spans="1:8" ht="27.95" customHeight="1">
      <c r="A71" s="117" t="s">
        <v>220</v>
      </c>
      <c r="B71" s="117" t="s">
        <v>25</v>
      </c>
      <c r="C71" s="117" t="s">
        <v>133</v>
      </c>
      <c r="D71" s="118">
        <v>93</v>
      </c>
      <c r="E71" s="118">
        <f>'93'!N21</f>
        <v>0</v>
      </c>
      <c r="F71" s="117" t="s">
        <v>86</v>
      </c>
      <c r="G71" s="117"/>
      <c r="H71" s="117"/>
    </row>
    <row r="72" spans="1:8" ht="27.95" customHeight="1">
      <c r="A72" s="117" t="s">
        <v>221</v>
      </c>
      <c r="B72" s="117" t="s">
        <v>25</v>
      </c>
      <c r="C72" s="117" t="s">
        <v>133</v>
      </c>
      <c r="D72" s="118">
        <v>93</v>
      </c>
      <c r="E72" s="118">
        <f>'93'!N22</f>
        <v>0</v>
      </c>
      <c r="F72" s="117" t="s">
        <v>86</v>
      </c>
      <c r="G72" s="117"/>
      <c r="H72" s="117"/>
    </row>
    <row r="73" spans="1:8" ht="27.95" customHeight="1">
      <c r="A73" s="117" t="s">
        <v>222</v>
      </c>
      <c r="B73" s="117" t="s">
        <v>25</v>
      </c>
      <c r="C73" s="117" t="s">
        <v>133</v>
      </c>
      <c r="D73" s="118">
        <v>93</v>
      </c>
      <c r="E73" s="118">
        <f>'93'!N23</f>
        <v>0</v>
      </c>
      <c r="F73" s="117" t="s">
        <v>86</v>
      </c>
      <c r="G73" s="117"/>
      <c r="H73" s="117"/>
    </row>
    <row r="74" spans="1:8" ht="27.95" customHeight="1">
      <c r="A74" s="117" t="s">
        <v>223</v>
      </c>
      <c r="B74" s="117" t="s">
        <v>25</v>
      </c>
      <c r="C74" s="117" t="s">
        <v>133</v>
      </c>
      <c r="D74" s="118">
        <v>93</v>
      </c>
      <c r="E74" s="118">
        <f>'93'!N24</f>
        <v>0</v>
      </c>
      <c r="F74" s="117" t="s">
        <v>86</v>
      </c>
      <c r="G74" s="117"/>
      <c r="H74" s="117"/>
    </row>
    <row r="75" spans="1:8" ht="27.95" customHeight="1">
      <c r="A75" s="117" t="s">
        <v>224</v>
      </c>
      <c r="B75" s="117" t="s">
        <v>25</v>
      </c>
      <c r="C75" s="117" t="s">
        <v>133</v>
      </c>
      <c r="D75" s="118">
        <v>93</v>
      </c>
      <c r="E75" s="118">
        <f>'93'!N25</f>
        <v>0</v>
      </c>
      <c r="F75" s="117" t="s">
        <v>86</v>
      </c>
      <c r="G75" s="117"/>
      <c r="H75" s="117"/>
    </row>
    <row r="76" spans="1:8" ht="27.95" customHeight="1">
      <c r="A76" s="117" t="s">
        <v>225</v>
      </c>
      <c r="B76" s="117" t="s">
        <v>25</v>
      </c>
      <c r="C76" s="117" t="s">
        <v>133</v>
      </c>
      <c r="D76" s="118">
        <v>93</v>
      </c>
      <c r="E76" s="118">
        <f>'93'!N26</f>
        <v>0</v>
      </c>
      <c r="F76" s="117" t="s">
        <v>86</v>
      </c>
      <c r="G76" s="117"/>
      <c r="H76" s="117"/>
    </row>
    <row r="77" spans="1:8" ht="27.95" customHeight="1">
      <c r="A77" s="117" t="s">
        <v>226</v>
      </c>
      <c r="B77" s="117" t="s">
        <v>25</v>
      </c>
      <c r="C77" s="117" t="s">
        <v>133</v>
      </c>
      <c r="D77" s="118">
        <v>93</v>
      </c>
      <c r="E77" s="118">
        <f>'93'!N27</f>
        <v>0</v>
      </c>
      <c r="F77" s="117" t="s">
        <v>86</v>
      </c>
      <c r="G77" s="117"/>
      <c r="H77" s="117"/>
    </row>
    <row r="78" spans="1:8" ht="27.95" customHeight="1">
      <c r="A78" s="117" t="s">
        <v>227</v>
      </c>
      <c r="B78" s="117" t="s">
        <v>25</v>
      </c>
      <c r="C78" s="117" t="s">
        <v>133</v>
      </c>
      <c r="D78" s="118">
        <v>93</v>
      </c>
      <c r="E78" s="118">
        <f>'93'!N28</f>
        <v>0</v>
      </c>
      <c r="F78" s="117" t="s">
        <v>86</v>
      </c>
      <c r="G78" s="117"/>
      <c r="H78" s="117"/>
    </row>
    <row r="79" spans="1:8" ht="27.95" customHeight="1">
      <c r="A79" s="117" t="s">
        <v>228</v>
      </c>
      <c r="B79" s="117" t="s">
        <v>25</v>
      </c>
      <c r="C79" s="117" t="s">
        <v>133</v>
      </c>
      <c r="D79" s="118">
        <v>93</v>
      </c>
      <c r="E79" s="118">
        <f>'93'!N29</f>
        <v>0</v>
      </c>
      <c r="F79" s="117" t="s">
        <v>86</v>
      </c>
      <c r="G79" s="117"/>
      <c r="H79" s="117"/>
    </row>
    <row r="80" spans="1:8" ht="27.95" customHeight="1">
      <c r="A80" s="117" t="s">
        <v>229</v>
      </c>
      <c r="B80" s="117" t="s">
        <v>25</v>
      </c>
      <c r="C80" s="117" t="s">
        <v>133</v>
      </c>
      <c r="D80" s="118">
        <v>93</v>
      </c>
      <c r="E80" s="118">
        <f>'93'!N30</f>
        <v>0</v>
      </c>
      <c r="F80" s="117" t="s">
        <v>86</v>
      </c>
      <c r="G80" s="117"/>
      <c r="H80" s="117"/>
    </row>
    <row r="81" spans="1:8" ht="27.95" customHeight="1">
      <c r="A81" s="117" t="s">
        <v>230</v>
      </c>
      <c r="B81" s="117" t="s">
        <v>25</v>
      </c>
      <c r="C81" s="117" t="s">
        <v>133</v>
      </c>
      <c r="D81" s="118">
        <v>93</v>
      </c>
      <c r="E81" s="118">
        <f>'93'!Q19</f>
        <v>0</v>
      </c>
      <c r="F81" s="117" t="s">
        <v>86</v>
      </c>
      <c r="G81" s="117"/>
      <c r="H81" s="117" t="s">
        <v>183</v>
      </c>
    </row>
    <row r="82" spans="1:8" ht="27.95" customHeight="1">
      <c r="A82" s="117" t="s">
        <v>231</v>
      </c>
      <c r="B82" s="117" t="s">
        <v>25</v>
      </c>
      <c r="C82" s="117" t="s">
        <v>133</v>
      </c>
      <c r="D82" s="118">
        <v>93</v>
      </c>
      <c r="E82" s="118">
        <f>'93'!Q20</f>
        <v>0</v>
      </c>
      <c r="F82" s="117" t="s">
        <v>86</v>
      </c>
      <c r="G82" s="117"/>
      <c r="H82" s="117"/>
    </row>
    <row r="83" spans="1:8" ht="27.95" customHeight="1">
      <c r="A83" s="117" t="s">
        <v>232</v>
      </c>
      <c r="B83" s="117" t="s">
        <v>25</v>
      </c>
      <c r="C83" s="117" t="s">
        <v>133</v>
      </c>
      <c r="D83" s="118">
        <v>93</v>
      </c>
      <c r="E83" s="118">
        <f>'93'!Q21</f>
        <v>0</v>
      </c>
      <c r="F83" s="117" t="s">
        <v>86</v>
      </c>
      <c r="G83" s="117"/>
      <c r="H83" s="117"/>
    </row>
    <row r="84" spans="1:8" ht="27.95" customHeight="1">
      <c r="A84" s="117" t="s">
        <v>233</v>
      </c>
      <c r="B84" s="117" t="s">
        <v>25</v>
      </c>
      <c r="C84" s="117" t="s">
        <v>133</v>
      </c>
      <c r="D84" s="118">
        <v>93</v>
      </c>
      <c r="E84" s="118">
        <f>'93'!Q22</f>
        <v>0</v>
      </c>
      <c r="F84" s="117" t="s">
        <v>86</v>
      </c>
      <c r="G84" s="117"/>
      <c r="H84" s="117"/>
    </row>
    <row r="85" spans="1:8" ht="27.95" customHeight="1">
      <c r="A85" s="117" t="s">
        <v>234</v>
      </c>
      <c r="B85" s="117" t="s">
        <v>25</v>
      </c>
      <c r="C85" s="117" t="s">
        <v>133</v>
      </c>
      <c r="D85" s="118">
        <v>93</v>
      </c>
      <c r="E85" s="118">
        <f>'93'!Q23</f>
        <v>0</v>
      </c>
      <c r="F85" s="117" t="s">
        <v>86</v>
      </c>
      <c r="G85" s="117"/>
      <c r="H85" s="117"/>
    </row>
    <row r="86" spans="1:8" ht="27.95" customHeight="1">
      <c r="A86" s="117" t="s">
        <v>235</v>
      </c>
      <c r="B86" s="117" t="s">
        <v>25</v>
      </c>
      <c r="C86" s="117" t="s">
        <v>133</v>
      </c>
      <c r="D86" s="118">
        <v>93</v>
      </c>
      <c r="E86" s="118">
        <f>'93'!Q24</f>
        <v>0</v>
      </c>
      <c r="F86" s="117" t="s">
        <v>86</v>
      </c>
      <c r="G86" s="117"/>
      <c r="H86" s="117"/>
    </row>
    <row r="87" spans="1:8" ht="27.95" customHeight="1">
      <c r="A87" s="117" t="s">
        <v>236</v>
      </c>
      <c r="B87" s="117" t="s">
        <v>25</v>
      </c>
      <c r="C87" s="117" t="s">
        <v>133</v>
      </c>
      <c r="D87" s="118">
        <v>93</v>
      </c>
      <c r="E87" s="118">
        <f>'93'!Q25</f>
        <v>0</v>
      </c>
      <c r="F87" s="117" t="s">
        <v>86</v>
      </c>
      <c r="G87" s="117"/>
      <c r="H87" s="117"/>
    </row>
    <row r="88" spans="1:8" ht="27.95" customHeight="1">
      <c r="A88" s="117" t="s">
        <v>237</v>
      </c>
      <c r="B88" s="117" t="s">
        <v>25</v>
      </c>
      <c r="C88" s="117" t="s">
        <v>133</v>
      </c>
      <c r="D88" s="118">
        <v>93</v>
      </c>
      <c r="E88" s="118">
        <f>'93'!Q26</f>
        <v>0</v>
      </c>
      <c r="F88" s="117" t="s">
        <v>86</v>
      </c>
      <c r="G88" s="117"/>
      <c r="H88" s="117"/>
    </row>
    <row r="89" spans="1:8" ht="27.95" customHeight="1">
      <c r="A89" s="117" t="s">
        <v>238</v>
      </c>
      <c r="B89" s="117" t="s">
        <v>25</v>
      </c>
      <c r="C89" s="117" t="s">
        <v>133</v>
      </c>
      <c r="D89" s="118">
        <v>93</v>
      </c>
      <c r="E89" s="118">
        <f>'93'!Q27</f>
        <v>0</v>
      </c>
      <c r="F89" s="117" t="s">
        <v>86</v>
      </c>
      <c r="G89" s="117"/>
      <c r="H89" s="117"/>
    </row>
    <row r="90" spans="1:8" ht="27.95" customHeight="1">
      <c r="A90" s="117" t="s">
        <v>239</v>
      </c>
      <c r="B90" s="117" t="s">
        <v>25</v>
      </c>
      <c r="C90" s="117" t="s">
        <v>133</v>
      </c>
      <c r="D90" s="118">
        <v>93</v>
      </c>
      <c r="E90" s="118">
        <f>'93'!Q28</f>
        <v>0</v>
      </c>
      <c r="F90" s="117" t="s">
        <v>86</v>
      </c>
      <c r="G90" s="117"/>
      <c r="H90" s="117"/>
    </row>
    <row r="91" spans="1:8" ht="27.95" customHeight="1">
      <c r="A91" s="117" t="s">
        <v>240</v>
      </c>
      <c r="B91" s="117" t="s">
        <v>25</v>
      </c>
      <c r="C91" s="117" t="s">
        <v>133</v>
      </c>
      <c r="D91" s="118">
        <v>93</v>
      </c>
      <c r="E91" s="118">
        <f>'93'!Q29</f>
        <v>0</v>
      </c>
      <c r="F91" s="117" t="s">
        <v>86</v>
      </c>
      <c r="G91" s="117"/>
      <c r="H91" s="117"/>
    </row>
    <row r="92" spans="1:8" ht="27.95" customHeight="1">
      <c r="A92" s="117" t="s">
        <v>241</v>
      </c>
      <c r="B92" s="117" t="s">
        <v>25</v>
      </c>
      <c r="C92" s="117" t="s">
        <v>133</v>
      </c>
      <c r="D92" s="118">
        <v>93</v>
      </c>
      <c r="E92" s="118">
        <f>'93'!Q30</f>
        <v>0</v>
      </c>
      <c r="F92" s="117" t="s">
        <v>86</v>
      </c>
      <c r="G92" s="117"/>
      <c r="H92" s="117"/>
    </row>
    <row r="93" spans="1:8" ht="27.95" customHeight="1">
      <c r="A93" s="117" t="s">
        <v>242</v>
      </c>
      <c r="B93" s="117" t="s">
        <v>25</v>
      </c>
      <c r="C93" s="117" t="s">
        <v>131</v>
      </c>
      <c r="D93" s="118">
        <v>93</v>
      </c>
      <c r="E93" s="118">
        <f>'93'!O19</f>
        <v>0</v>
      </c>
      <c r="F93" s="117" t="s">
        <v>86</v>
      </c>
      <c r="G93" s="117"/>
      <c r="H93" s="117" t="s">
        <v>182</v>
      </c>
    </row>
    <row r="94" spans="1:8" ht="27.95" customHeight="1">
      <c r="A94" s="117" t="s">
        <v>243</v>
      </c>
      <c r="B94" s="117" t="s">
        <v>25</v>
      </c>
      <c r="C94" s="117" t="s">
        <v>131</v>
      </c>
      <c r="D94" s="118">
        <v>93</v>
      </c>
      <c r="E94" s="118">
        <f>'93'!O20</f>
        <v>0</v>
      </c>
      <c r="F94" s="117" t="s">
        <v>86</v>
      </c>
      <c r="G94" s="117"/>
      <c r="H94" s="117"/>
    </row>
    <row r="95" spans="1:8" ht="27.95" customHeight="1">
      <c r="A95" s="117" t="s">
        <v>244</v>
      </c>
      <c r="B95" s="117" t="s">
        <v>25</v>
      </c>
      <c r="C95" s="117" t="s">
        <v>131</v>
      </c>
      <c r="D95" s="118">
        <v>93</v>
      </c>
      <c r="E95" s="118">
        <f>'93'!O21</f>
        <v>0</v>
      </c>
      <c r="F95" s="117" t="s">
        <v>86</v>
      </c>
      <c r="G95" s="117"/>
      <c r="H95" s="117"/>
    </row>
    <row r="96" spans="1:8" ht="27.95" customHeight="1">
      <c r="A96" s="117" t="s">
        <v>245</v>
      </c>
      <c r="B96" s="117" t="s">
        <v>25</v>
      </c>
      <c r="C96" s="117" t="s">
        <v>131</v>
      </c>
      <c r="D96" s="118">
        <v>93</v>
      </c>
      <c r="E96" s="118">
        <f>'93'!O22</f>
        <v>0</v>
      </c>
      <c r="F96" s="117" t="s">
        <v>86</v>
      </c>
      <c r="G96" s="117"/>
      <c r="H96" s="117"/>
    </row>
    <row r="97" spans="1:8" ht="27.95" customHeight="1">
      <c r="A97" s="117" t="s">
        <v>246</v>
      </c>
      <c r="B97" s="117" t="s">
        <v>25</v>
      </c>
      <c r="C97" s="117" t="s">
        <v>131</v>
      </c>
      <c r="D97" s="118">
        <v>93</v>
      </c>
      <c r="E97" s="118">
        <f>'93'!O23</f>
        <v>0</v>
      </c>
      <c r="F97" s="117" t="s">
        <v>86</v>
      </c>
      <c r="G97" s="117"/>
      <c r="H97" s="117"/>
    </row>
    <row r="98" spans="1:8" ht="27.95" customHeight="1">
      <c r="A98" s="117" t="s">
        <v>247</v>
      </c>
      <c r="B98" s="117" t="s">
        <v>25</v>
      </c>
      <c r="C98" s="117" t="s">
        <v>131</v>
      </c>
      <c r="D98" s="118">
        <v>93</v>
      </c>
      <c r="E98" s="118">
        <f>'93'!O24</f>
        <v>0</v>
      </c>
      <c r="F98" s="117" t="s">
        <v>86</v>
      </c>
      <c r="G98" s="117"/>
      <c r="H98" s="117"/>
    </row>
    <row r="99" spans="1:8" ht="27.95" customHeight="1">
      <c r="A99" s="117" t="s">
        <v>248</v>
      </c>
      <c r="B99" s="117" t="s">
        <v>25</v>
      </c>
      <c r="C99" s="117" t="s">
        <v>131</v>
      </c>
      <c r="D99" s="118">
        <v>93</v>
      </c>
      <c r="E99" s="118">
        <f>'93'!O25</f>
        <v>0</v>
      </c>
      <c r="F99" s="117" t="s">
        <v>86</v>
      </c>
      <c r="G99" s="117"/>
      <c r="H99" s="117"/>
    </row>
    <row r="100" spans="1:8" ht="27.95" customHeight="1">
      <c r="A100" s="117" t="s">
        <v>249</v>
      </c>
      <c r="B100" s="117" t="s">
        <v>25</v>
      </c>
      <c r="C100" s="117" t="s">
        <v>131</v>
      </c>
      <c r="D100" s="118">
        <v>93</v>
      </c>
      <c r="E100" s="118">
        <f>'93'!O26</f>
        <v>0</v>
      </c>
      <c r="F100" s="117" t="s">
        <v>86</v>
      </c>
      <c r="G100" s="117"/>
      <c r="H100" s="117"/>
    </row>
    <row r="101" spans="1:8" ht="27.95" customHeight="1">
      <c r="A101" s="117" t="s">
        <v>250</v>
      </c>
      <c r="B101" s="117" t="s">
        <v>25</v>
      </c>
      <c r="C101" s="117" t="s">
        <v>131</v>
      </c>
      <c r="D101" s="118">
        <v>93</v>
      </c>
      <c r="E101" s="118">
        <f>'93'!O27</f>
        <v>0</v>
      </c>
      <c r="F101" s="117" t="s">
        <v>86</v>
      </c>
      <c r="G101" s="117"/>
      <c r="H101" s="117"/>
    </row>
    <row r="102" spans="1:8" ht="27.95" customHeight="1">
      <c r="A102" s="117" t="s">
        <v>251</v>
      </c>
      <c r="B102" s="117" t="s">
        <v>25</v>
      </c>
      <c r="C102" s="117" t="s">
        <v>131</v>
      </c>
      <c r="D102" s="118">
        <v>93</v>
      </c>
      <c r="E102" s="118">
        <f>'93'!O28</f>
        <v>0</v>
      </c>
      <c r="F102" s="117" t="s">
        <v>86</v>
      </c>
      <c r="G102" s="117"/>
      <c r="H102" s="117"/>
    </row>
    <row r="103" spans="1:8" ht="27.95" customHeight="1">
      <c r="A103" s="117" t="s">
        <v>252</v>
      </c>
      <c r="B103" s="117" t="s">
        <v>25</v>
      </c>
      <c r="C103" s="117" t="s">
        <v>131</v>
      </c>
      <c r="D103" s="118">
        <v>93</v>
      </c>
      <c r="E103" s="118">
        <f>'93'!O29</f>
        <v>0</v>
      </c>
      <c r="F103" s="117" t="s">
        <v>86</v>
      </c>
      <c r="G103" s="117"/>
      <c r="H103" s="117"/>
    </row>
    <row r="104" spans="1:8" ht="27.95" customHeight="1">
      <c r="A104" s="117" t="s">
        <v>253</v>
      </c>
      <c r="B104" s="117" t="s">
        <v>25</v>
      </c>
      <c r="C104" s="117" t="s">
        <v>131</v>
      </c>
      <c r="D104" s="118">
        <v>93</v>
      </c>
      <c r="E104" s="118">
        <f>'93'!O30</f>
        <v>0</v>
      </c>
      <c r="F104" s="117" t="s">
        <v>86</v>
      </c>
      <c r="G104" s="117"/>
      <c r="H104" s="117"/>
    </row>
    <row r="105" spans="1:8" ht="27.95" customHeight="1">
      <c r="A105" s="117" t="s">
        <v>254</v>
      </c>
      <c r="B105" s="117" t="s">
        <v>25</v>
      </c>
      <c r="C105" s="117" t="s">
        <v>131</v>
      </c>
      <c r="D105" s="118">
        <v>93</v>
      </c>
      <c r="E105" s="118">
        <f>'93'!R19</f>
        <v>0</v>
      </c>
      <c r="F105" s="117" t="s">
        <v>86</v>
      </c>
      <c r="G105" s="117"/>
      <c r="H105" s="117" t="s">
        <v>183</v>
      </c>
    </row>
    <row r="106" spans="1:8" ht="27.95" customHeight="1">
      <c r="A106" s="117" t="s">
        <v>255</v>
      </c>
      <c r="B106" s="117" t="s">
        <v>25</v>
      </c>
      <c r="C106" s="117" t="s">
        <v>131</v>
      </c>
      <c r="D106" s="118">
        <v>93</v>
      </c>
      <c r="E106" s="118">
        <f>'93'!R20</f>
        <v>0</v>
      </c>
      <c r="F106" s="117" t="s">
        <v>86</v>
      </c>
      <c r="G106" s="117"/>
      <c r="H106" s="117"/>
    </row>
    <row r="107" spans="1:8" ht="27.95" customHeight="1">
      <c r="A107" s="117" t="s">
        <v>256</v>
      </c>
      <c r="B107" s="117" t="s">
        <v>25</v>
      </c>
      <c r="C107" s="117" t="s">
        <v>131</v>
      </c>
      <c r="D107" s="118">
        <v>93</v>
      </c>
      <c r="E107" s="118">
        <f>'93'!R21</f>
        <v>0</v>
      </c>
      <c r="F107" s="117" t="s">
        <v>86</v>
      </c>
      <c r="G107" s="117"/>
      <c r="H107" s="117"/>
    </row>
    <row r="108" spans="1:8" ht="27.95" customHeight="1">
      <c r="A108" s="117" t="s">
        <v>257</v>
      </c>
      <c r="B108" s="117" t="s">
        <v>25</v>
      </c>
      <c r="C108" s="117" t="s">
        <v>131</v>
      </c>
      <c r="D108" s="118">
        <v>93</v>
      </c>
      <c r="E108" s="118">
        <f>'93'!R22</f>
        <v>0</v>
      </c>
      <c r="F108" s="117" t="s">
        <v>86</v>
      </c>
      <c r="G108" s="117"/>
      <c r="H108" s="117"/>
    </row>
    <row r="109" spans="1:8" ht="27.95" customHeight="1">
      <c r="A109" s="117" t="s">
        <v>258</v>
      </c>
      <c r="B109" s="117" t="s">
        <v>25</v>
      </c>
      <c r="C109" s="117" t="s">
        <v>131</v>
      </c>
      <c r="D109" s="118">
        <v>93</v>
      </c>
      <c r="E109" s="118">
        <f>'93'!R23</f>
        <v>0</v>
      </c>
      <c r="F109" s="117" t="s">
        <v>86</v>
      </c>
      <c r="G109" s="117"/>
      <c r="H109" s="117"/>
    </row>
    <row r="110" spans="1:8" ht="27.95" customHeight="1">
      <c r="A110" s="117" t="s">
        <v>259</v>
      </c>
      <c r="B110" s="117" t="s">
        <v>25</v>
      </c>
      <c r="C110" s="117" t="s">
        <v>131</v>
      </c>
      <c r="D110" s="118">
        <v>93</v>
      </c>
      <c r="E110" s="118">
        <f>'93'!R24</f>
        <v>0</v>
      </c>
      <c r="F110" s="117" t="s">
        <v>86</v>
      </c>
      <c r="G110" s="117"/>
      <c r="H110" s="117"/>
    </row>
    <row r="111" spans="1:8" ht="27.95" customHeight="1">
      <c r="A111" s="117" t="s">
        <v>260</v>
      </c>
      <c r="B111" s="117" t="s">
        <v>25</v>
      </c>
      <c r="C111" s="117" t="s">
        <v>131</v>
      </c>
      <c r="D111" s="118">
        <v>93</v>
      </c>
      <c r="E111" s="118">
        <f>'93'!R25</f>
        <v>0</v>
      </c>
      <c r="F111" s="117" t="s">
        <v>86</v>
      </c>
      <c r="G111" s="117"/>
      <c r="H111" s="117"/>
    </row>
    <row r="112" spans="1:8" ht="27.95" customHeight="1">
      <c r="A112" s="117" t="s">
        <v>261</v>
      </c>
      <c r="B112" s="117" t="s">
        <v>25</v>
      </c>
      <c r="C112" s="117" t="s">
        <v>131</v>
      </c>
      <c r="D112" s="118">
        <v>93</v>
      </c>
      <c r="E112" s="118">
        <f>'93'!R26</f>
        <v>0</v>
      </c>
      <c r="F112" s="117" t="s">
        <v>86</v>
      </c>
      <c r="G112" s="117"/>
      <c r="H112" s="117"/>
    </row>
    <row r="113" spans="1:8" ht="27.95" customHeight="1">
      <c r="A113" s="117" t="s">
        <v>262</v>
      </c>
      <c r="B113" s="117" t="s">
        <v>25</v>
      </c>
      <c r="C113" s="117" t="s">
        <v>131</v>
      </c>
      <c r="D113" s="118">
        <v>93</v>
      </c>
      <c r="E113" s="118">
        <f>'93'!R27</f>
        <v>0</v>
      </c>
      <c r="F113" s="117" t="s">
        <v>86</v>
      </c>
      <c r="G113" s="117"/>
      <c r="H113" s="117"/>
    </row>
    <row r="114" spans="1:8" ht="27.95" customHeight="1">
      <c r="A114" s="117" t="s">
        <v>263</v>
      </c>
      <c r="B114" s="117" t="s">
        <v>25</v>
      </c>
      <c r="C114" s="117" t="s">
        <v>131</v>
      </c>
      <c r="D114" s="118">
        <v>93</v>
      </c>
      <c r="E114" s="118">
        <f>'93'!R28</f>
        <v>0</v>
      </c>
      <c r="F114" s="117" t="s">
        <v>86</v>
      </c>
      <c r="G114" s="117"/>
      <c r="H114" s="117"/>
    </row>
    <row r="115" spans="1:8" ht="27.95" customHeight="1">
      <c r="A115" s="117" t="s">
        <v>264</v>
      </c>
      <c r="B115" s="117" t="s">
        <v>25</v>
      </c>
      <c r="C115" s="117" t="s">
        <v>131</v>
      </c>
      <c r="D115" s="118">
        <v>93</v>
      </c>
      <c r="E115" s="118">
        <f>'93'!R29</f>
        <v>0</v>
      </c>
      <c r="F115" s="117" t="s">
        <v>86</v>
      </c>
      <c r="G115" s="117"/>
      <c r="H115" s="117"/>
    </row>
    <row r="116" spans="1:8" ht="27.95" customHeight="1">
      <c r="A116" s="117" t="s">
        <v>265</v>
      </c>
      <c r="B116" s="117" t="s">
        <v>25</v>
      </c>
      <c r="C116" s="117" t="s">
        <v>131</v>
      </c>
      <c r="D116" s="118">
        <v>93</v>
      </c>
      <c r="E116" s="118">
        <f>'93'!R30</f>
        <v>0</v>
      </c>
      <c r="F116" s="117" t="s">
        <v>86</v>
      </c>
      <c r="G116" s="117"/>
      <c r="H116" s="117"/>
    </row>
    <row r="117" spans="1:8" ht="27.95" customHeight="1">
      <c r="A117" s="117" t="s">
        <v>266</v>
      </c>
      <c r="B117" s="117" t="s">
        <v>31</v>
      </c>
      <c r="C117" s="117" t="s">
        <v>129</v>
      </c>
      <c r="D117" s="118">
        <v>93</v>
      </c>
      <c r="E117" s="118">
        <f>'93'!M36</f>
        <v>0</v>
      </c>
      <c r="F117" s="117" t="s">
        <v>128</v>
      </c>
      <c r="G117" s="117"/>
      <c r="H117" s="117"/>
    </row>
    <row r="118" spans="1:8" ht="27.95" customHeight="1">
      <c r="A118" s="117" t="s">
        <v>267</v>
      </c>
      <c r="B118" s="117" t="s">
        <v>31</v>
      </c>
      <c r="C118" s="117" t="s">
        <v>126</v>
      </c>
      <c r="D118" s="118">
        <v>93</v>
      </c>
      <c r="E118" s="118">
        <f>'93'!N37</f>
        <v>0</v>
      </c>
      <c r="F118" s="117" t="s">
        <v>81</v>
      </c>
      <c r="G118" s="117" t="s">
        <v>123</v>
      </c>
      <c r="H118" s="117"/>
    </row>
    <row r="119" spans="1:8" ht="27.95" customHeight="1">
      <c r="A119" s="117" t="s">
        <v>268</v>
      </c>
      <c r="B119" s="117" t="s">
        <v>31</v>
      </c>
      <c r="C119" s="117" t="s">
        <v>124</v>
      </c>
      <c r="D119" s="118">
        <v>93</v>
      </c>
      <c r="E119" s="118">
        <f>'93'!R37</f>
        <v>0</v>
      </c>
      <c r="F119" s="117" t="s">
        <v>86</v>
      </c>
      <c r="G119" s="117" t="s">
        <v>123</v>
      </c>
      <c r="H119" s="117" t="s">
        <v>122</v>
      </c>
    </row>
    <row r="120" spans="1:8" ht="27.95" customHeight="1">
      <c r="A120" s="117" t="s">
        <v>269</v>
      </c>
      <c r="B120" s="117" t="s">
        <v>29</v>
      </c>
      <c r="C120" s="117" t="s">
        <v>184</v>
      </c>
      <c r="D120" s="118">
        <v>93</v>
      </c>
      <c r="E120" s="118">
        <f>'93'!N32</f>
        <v>0</v>
      </c>
      <c r="F120" s="117" t="s">
        <v>81</v>
      </c>
      <c r="G120" s="117" t="s">
        <v>80</v>
      </c>
      <c r="H120" s="117"/>
    </row>
    <row r="121" spans="1:8" ht="27.95" customHeight="1">
      <c r="A121" s="117" t="s">
        <v>270</v>
      </c>
      <c r="B121" s="117" t="s">
        <v>29</v>
      </c>
      <c r="C121" s="117" t="s">
        <v>184</v>
      </c>
      <c r="D121" s="118">
        <v>93</v>
      </c>
      <c r="E121" s="118">
        <f>'93'!N33</f>
        <v>0</v>
      </c>
      <c r="F121" s="117" t="s">
        <v>81</v>
      </c>
      <c r="G121" s="117"/>
      <c r="H121" s="117"/>
    </row>
    <row r="122" spans="1:8" ht="27.95" customHeight="1">
      <c r="A122" s="117" t="s">
        <v>271</v>
      </c>
      <c r="B122" s="117" t="s">
        <v>29</v>
      </c>
      <c r="C122" s="117" t="s">
        <v>184</v>
      </c>
      <c r="D122" s="118">
        <v>93</v>
      </c>
      <c r="E122" s="118">
        <f>'93'!N34</f>
        <v>0</v>
      </c>
      <c r="F122" s="117" t="s">
        <v>81</v>
      </c>
      <c r="G122" s="117"/>
      <c r="H122" s="117"/>
    </row>
    <row r="123" spans="1:8" ht="27.95" customHeight="1">
      <c r="A123" s="117" t="s">
        <v>272</v>
      </c>
      <c r="B123" s="117" t="s">
        <v>29</v>
      </c>
      <c r="C123" s="117" t="s">
        <v>184</v>
      </c>
      <c r="D123" s="118">
        <v>93</v>
      </c>
      <c r="E123" s="118">
        <f>'93'!Q32</f>
        <v>0</v>
      </c>
      <c r="F123" s="117" t="s">
        <v>81</v>
      </c>
      <c r="G123" s="117"/>
      <c r="H123" s="117"/>
    </row>
    <row r="124" spans="1:8" ht="27.95" customHeight="1">
      <c r="A124" s="117" t="s">
        <v>273</v>
      </c>
      <c r="B124" s="117" t="s">
        <v>29</v>
      </c>
      <c r="C124" s="117" t="s">
        <v>184</v>
      </c>
      <c r="D124" s="118">
        <v>93</v>
      </c>
      <c r="E124" s="118">
        <f>'93'!Q33</f>
        <v>0</v>
      </c>
      <c r="F124" s="117" t="s">
        <v>81</v>
      </c>
      <c r="G124" s="117"/>
      <c r="H124" s="117"/>
    </row>
    <row r="125" spans="1:8" ht="27.95" customHeight="1">
      <c r="A125" s="117" t="s">
        <v>274</v>
      </c>
      <c r="B125" s="117" t="s">
        <v>29</v>
      </c>
      <c r="C125" s="117" t="s">
        <v>184</v>
      </c>
      <c r="D125" s="118">
        <v>93</v>
      </c>
      <c r="E125" s="118">
        <f>'93'!Q34</f>
        <v>0</v>
      </c>
      <c r="F125" s="117" t="s">
        <v>81</v>
      </c>
      <c r="G125" s="117"/>
      <c r="H125" s="117"/>
    </row>
    <row r="126" spans="1:8" ht="27.95" customHeight="1">
      <c r="A126" s="117" t="s">
        <v>275</v>
      </c>
      <c r="B126" s="117" t="s">
        <v>117</v>
      </c>
      <c r="C126" s="117" t="s">
        <v>119</v>
      </c>
      <c r="D126" s="118">
        <v>93</v>
      </c>
      <c r="E126" s="118">
        <f>'93'!M49</f>
        <v>0</v>
      </c>
      <c r="F126" s="117" t="s">
        <v>81</v>
      </c>
      <c r="G126" s="117" t="s">
        <v>80</v>
      </c>
      <c r="H126" s="117" t="s">
        <v>182</v>
      </c>
    </row>
    <row r="127" spans="1:8" ht="27.95" customHeight="1">
      <c r="A127" s="117" t="s">
        <v>276</v>
      </c>
      <c r="B127" s="117" t="s">
        <v>117</v>
      </c>
      <c r="C127" s="117" t="s">
        <v>119</v>
      </c>
      <c r="D127" s="118">
        <v>93</v>
      </c>
      <c r="E127" s="118">
        <f>'93'!M50</f>
        <v>0</v>
      </c>
      <c r="F127" s="117" t="s">
        <v>81</v>
      </c>
      <c r="G127" s="117"/>
      <c r="H127" s="117"/>
    </row>
    <row r="128" spans="1:8" ht="27.95" customHeight="1">
      <c r="A128" s="117" t="s">
        <v>277</v>
      </c>
      <c r="B128" s="117" t="s">
        <v>117</v>
      </c>
      <c r="C128" s="117" t="s">
        <v>119</v>
      </c>
      <c r="D128" s="118">
        <v>93</v>
      </c>
      <c r="E128" s="118">
        <f>'93'!M51</f>
        <v>0</v>
      </c>
      <c r="F128" s="117" t="s">
        <v>81</v>
      </c>
      <c r="G128" s="117"/>
      <c r="H128" s="117"/>
    </row>
    <row r="129" spans="1:8" ht="27.95" customHeight="1">
      <c r="A129" s="117" t="s">
        <v>278</v>
      </c>
      <c r="B129" s="117" t="s">
        <v>117</v>
      </c>
      <c r="C129" s="117" t="s">
        <v>119</v>
      </c>
      <c r="D129" s="118">
        <v>93</v>
      </c>
      <c r="E129" s="118">
        <f>'93'!M52</f>
        <v>0</v>
      </c>
      <c r="F129" s="117" t="s">
        <v>81</v>
      </c>
      <c r="G129" s="117"/>
      <c r="H129" s="117"/>
    </row>
    <row r="130" spans="1:8" ht="27.95" customHeight="1">
      <c r="A130" s="117" t="s">
        <v>279</v>
      </c>
      <c r="B130" s="117" t="s">
        <v>117</v>
      </c>
      <c r="C130" s="117" t="s">
        <v>119</v>
      </c>
      <c r="D130" s="118">
        <v>93</v>
      </c>
      <c r="E130" s="118">
        <f>'93'!O49</f>
        <v>0</v>
      </c>
      <c r="F130" s="117" t="s">
        <v>81</v>
      </c>
      <c r="G130" s="117"/>
      <c r="H130" s="117" t="s">
        <v>183</v>
      </c>
    </row>
    <row r="131" spans="1:8" ht="27.95" customHeight="1">
      <c r="A131" s="117" t="s">
        <v>280</v>
      </c>
      <c r="B131" s="117" t="s">
        <v>117</v>
      </c>
      <c r="C131" s="117" t="s">
        <v>119</v>
      </c>
      <c r="D131" s="118">
        <v>93</v>
      </c>
      <c r="E131" s="118">
        <f>'93'!O50</f>
        <v>0</v>
      </c>
      <c r="F131" s="117" t="s">
        <v>81</v>
      </c>
      <c r="G131" s="117"/>
      <c r="H131" s="117"/>
    </row>
    <row r="132" spans="1:8" ht="27.95" customHeight="1">
      <c r="A132" s="117" t="s">
        <v>281</v>
      </c>
      <c r="B132" s="117" t="s">
        <v>117</v>
      </c>
      <c r="C132" s="117" t="s">
        <v>119</v>
      </c>
      <c r="D132" s="118">
        <v>93</v>
      </c>
      <c r="E132" s="118">
        <f>'93'!O51</f>
        <v>0</v>
      </c>
      <c r="F132" s="117" t="s">
        <v>81</v>
      </c>
      <c r="G132" s="117"/>
      <c r="H132" s="117"/>
    </row>
    <row r="133" spans="1:8" ht="27.95" customHeight="1">
      <c r="A133" s="117" t="s">
        <v>282</v>
      </c>
      <c r="B133" s="117" t="s">
        <v>117</v>
      </c>
      <c r="C133" s="117" t="s">
        <v>119</v>
      </c>
      <c r="D133" s="118">
        <v>93</v>
      </c>
      <c r="E133" s="118">
        <f>'93'!O52</f>
        <v>0</v>
      </c>
      <c r="F133" s="117" t="s">
        <v>81</v>
      </c>
      <c r="G133" s="117"/>
      <c r="H133" s="117"/>
    </row>
    <row r="134" spans="1:8" ht="27.95" customHeight="1">
      <c r="A134" s="117" t="s">
        <v>283</v>
      </c>
      <c r="B134" s="117" t="s">
        <v>117</v>
      </c>
      <c r="C134" s="117" t="s">
        <v>119</v>
      </c>
      <c r="D134" s="118">
        <v>93</v>
      </c>
      <c r="E134" s="118">
        <f>'93'!Q49</f>
        <v>0</v>
      </c>
      <c r="F134" s="117" t="s">
        <v>81</v>
      </c>
      <c r="G134" s="117"/>
      <c r="H134" s="117" t="s">
        <v>185</v>
      </c>
    </row>
    <row r="135" spans="1:8" ht="27.95" customHeight="1">
      <c r="A135" s="117" t="s">
        <v>284</v>
      </c>
      <c r="B135" s="117" t="s">
        <v>117</v>
      </c>
      <c r="C135" s="117" t="s">
        <v>119</v>
      </c>
      <c r="D135" s="118">
        <v>93</v>
      </c>
      <c r="E135" s="118">
        <f>'93'!Q50</f>
        <v>0</v>
      </c>
      <c r="F135" s="117" t="s">
        <v>81</v>
      </c>
      <c r="G135" s="117"/>
      <c r="H135" s="117"/>
    </row>
    <row r="136" spans="1:8" ht="27.95" customHeight="1">
      <c r="A136" s="117" t="s">
        <v>285</v>
      </c>
      <c r="B136" s="117" t="s">
        <v>117</v>
      </c>
      <c r="C136" s="117" t="s">
        <v>119</v>
      </c>
      <c r="D136" s="118">
        <v>93</v>
      </c>
      <c r="E136" s="118">
        <f>'93'!Q51</f>
        <v>0</v>
      </c>
      <c r="F136" s="117" t="s">
        <v>81</v>
      </c>
      <c r="G136" s="117"/>
      <c r="H136" s="117"/>
    </row>
    <row r="137" spans="1:8" ht="27.95" customHeight="1">
      <c r="A137" s="117" t="s">
        <v>286</v>
      </c>
      <c r="B137" s="117" t="s">
        <v>117</v>
      </c>
      <c r="C137" s="117" t="s">
        <v>119</v>
      </c>
      <c r="D137" s="118">
        <v>93</v>
      </c>
      <c r="E137" s="118">
        <f>'93'!Q52</f>
        <v>0</v>
      </c>
      <c r="F137" s="117" t="s">
        <v>81</v>
      </c>
      <c r="G137" s="117"/>
      <c r="H137" s="117"/>
    </row>
    <row r="138" spans="1:8" ht="27.95" customHeight="1">
      <c r="A138" s="117" t="s">
        <v>287</v>
      </c>
      <c r="B138" s="117" t="s">
        <v>117</v>
      </c>
      <c r="C138" s="117" t="s">
        <v>116</v>
      </c>
      <c r="D138" s="118">
        <v>93</v>
      </c>
      <c r="E138" s="118">
        <f>'93'!N49</f>
        <v>0</v>
      </c>
      <c r="F138" s="117" t="s">
        <v>86</v>
      </c>
      <c r="G138" s="117" t="s">
        <v>80</v>
      </c>
      <c r="H138" s="117" t="s">
        <v>182</v>
      </c>
    </row>
    <row r="139" spans="1:8" ht="27.95" customHeight="1">
      <c r="A139" s="117" t="s">
        <v>288</v>
      </c>
      <c r="B139" s="117" t="s">
        <v>117</v>
      </c>
      <c r="C139" s="117" t="s">
        <v>116</v>
      </c>
      <c r="D139" s="118">
        <v>93</v>
      </c>
      <c r="E139" s="118">
        <f>'93'!N50</f>
        <v>0</v>
      </c>
      <c r="F139" s="117" t="s">
        <v>86</v>
      </c>
      <c r="G139" s="117"/>
      <c r="H139" s="117"/>
    </row>
    <row r="140" spans="1:8" ht="27.95" customHeight="1">
      <c r="A140" s="117" t="s">
        <v>289</v>
      </c>
      <c r="B140" s="117" t="s">
        <v>117</v>
      </c>
      <c r="C140" s="117" t="s">
        <v>116</v>
      </c>
      <c r="D140" s="118">
        <v>93</v>
      </c>
      <c r="E140" s="118">
        <f>'93'!N51</f>
        <v>0</v>
      </c>
      <c r="F140" s="117" t="s">
        <v>86</v>
      </c>
      <c r="G140" s="117"/>
      <c r="H140" s="117"/>
    </row>
    <row r="141" spans="1:8" ht="27.95" customHeight="1">
      <c r="A141" s="117" t="s">
        <v>290</v>
      </c>
      <c r="B141" s="117" t="s">
        <v>117</v>
      </c>
      <c r="C141" s="117" t="s">
        <v>116</v>
      </c>
      <c r="D141" s="118">
        <v>93</v>
      </c>
      <c r="E141" s="118">
        <f>'93'!N52</f>
        <v>0</v>
      </c>
      <c r="F141" s="117" t="s">
        <v>86</v>
      </c>
      <c r="G141" s="117"/>
      <c r="H141" s="117"/>
    </row>
    <row r="142" spans="1:8" ht="27.95" customHeight="1">
      <c r="A142" s="117" t="s">
        <v>291</v>
      </c>
      <c r="B142" s="117" t="s">
        <v>117</v>
      </c>
      <c r="C142" s="117" t="s">
        <v>116</v>
      </c>
      <c r="D142" s="118">
        <v>93</v>
      </c>
      <c r="E142" s="118">
        <f>'93'!P49</f>
        <v>0</v>
      </c>
      <c r="F142" s="117" t="s">
        <v>86</v>
      </c>
      <c r="G142" s="117"/>
      <c r="H142" s="117" t="s">
        <v>183</v>
      </c>
    </row>
    <row r="143" spans="1:8" ht="27.95" customHeight="1">
      <c r="A143" s="117" t="s">
        <v>292</v>
      </c>
      <c r="B143" s="117" t="s">
        <v>117</v>
      </c>
      <c r="C143" s="117" t="s">
        <v>116</v>
      </c>
      <c r="D143" s="118">
        <v>93</v>
      </c>
      <c r="E143" s="118">
        <f>'93'!P50</f>
        <v>0</v>
      </c>
      <c r="F143" s="117" t="s">
        <v>86</v>
      </c>
      <c r="G143" s="117"/>
      <c r="H143" s="117"/>
    </row>
    <row r="144" spans="1:8" ht="27.95" customHeight="1">
      <c r="A144" s="117" t="s">
        <v>293</v>
      </c>
      <c r="B144" s="117" t="s">
        <v>117</v>
      </c>
      <c r="C144" s="117" t="s">
        <v>116</v>
      </c>
      <c r="D144" s="118">
        <v>93</v>
      </c>
      <c r="E144" s="118">
        <f>'93'!P51</f>
        <v>0</v>
      </c>
      <c r="F144" s="117" t="s">
        <v>86</v>
      </c>
      <c r="G144" s="117"/>
      <c r="H144" s="117"/>
    </row>
    <row r="145" spans="1:8" ht="27.95" customHeight="1">
      <c r="A145" s="117" t="s">
        <v>294</v>
      </c>
      <c r="B145" s="117" t="s">
        <v>117</v>
      </c>
      <c r="C145" s="117" t="s">
        <v>116</v>
      </c>
      <c r="D145" s="118">
        <v>93</v>
      </c>
      <c r="E145" s="118">
        <f>'93'!P52</f>
        <v>0</v>
      </c>
      <c r="F145" s="117" t="s">
        <v>86</v>
      </c>
      <c r="G145" s="117"/>
      <c r="H145" s="117"/>
    </row>
    <row r="146" spans="1:8" ht="27.95" customHeight="1">
      <c r="A146" s="117" t="s">
        <v>295</v>
      </c>
      <c r="B146" s="117" t="s">
        <v>117</v>
      </c>
      <c r="C146" s="117" t="s">
        <v>116</v>
      </c>
      <c r="D146" s="118">
        <v>93</v>
      </c>
      <c r="E146" s="118">
        <f>'93'!R49</f>
        <v>0</v>
      </c>
      <c r="F146" s="117" t="s">
        <v>86</v>
      </c>
      <c r="G146" s="117"/>
      <c r="H146" s="117" t="s">
        <v>185</v>
      </c>
    </row>
    <row r="147" spans="1:8" ht="27.95" customHeight="1">
      <c r="A147" s="117" t="s">
        <v>296</v>
      </c>
      <c r="B147" s="117" t="s">
        <v>117</v>
      </c>
      <c r="C147" s="117" t="s">
        <v>116</v>
      </c>
      <c r="D147" s="118">
        <v>93</v>
      </c>
      <c r="E147" s="118">
        <f>'93'!R50</f>
        <v>0</v>
      </c>
      <c r="F147" s="117" t="s">
        <v>86</v>
      </c>
      <c r="G147" s="117"/>
      <c r="H147" s="117"/>
    </row>
    <row r="148" spans="1:8" ht="27.95" customHeight="1">
      <c r="A148" s="117" t="s">
        <v>297</v>
      </c>
      <c r="B148" s="117" t="s">
        <v>117</v>
      </c>
      <c r="C148" s="117" t="s">
        <v>116</v>
      </c>
      <c r="D148" s="118">
        <v>93</v>
      </c>
      <c r="E148" s="118">
        <f>'93'!R51</f>
        <v>0</v>
      </c>
      <c r="F148" s="117" t="s">
        <v>86</v>
      </c>
      <c r="G148" s="117"/>
      <c r="H148" s="117"/>
    </row>
    <row r="149" spans="1:8" ht="27.95" customHeight="1">
      <c r="A149" s="117" t="s">
        <v>298</v>
      </c>
      <c r="B149" s="117" t="s">
        <v>117</v>
      </c>
      <c r="C149" s="117" t="s">
        <v>116</v>
      </c>
      <c r="D149" s="118">
        <v>93</v>
      </c>
      <c r="E149" s="118">
        <f>'93'!R52</f>
        <v>0</v>
      </c>
      <c r="F149" s="117" t="s">
        <v>86</v>
      </c>
      <c r="G149" s="117"/>
      <c r="H149" s="117"/>
    </row>
    <row r="150" spans="1:8" ht="27.95" customHeight="1">
      <c r="A150" s="117" t="s">
        <v>299</v>
      </c>
      <c r="B150" s="117" t="s">
        <v>35</v>
      </c>
      <c r="C150" s="117" t="s">
        <v>114</v>
      </c>
      <c r="D150" s="118">
        <v>93</v>
      </c>
      <c r="E150" s="118">
        <f>'93'!M54</f>
        <v>0</v>
      </c>
      <c r="F150" s="117" t="s">
        <v>81</v>
      </c>
      <c r="G150" s="117" t="s">
        <v>80</v>
      </c>
      <c r="H150" s="117"/>
    </row>
    <row r="151" spans="1:8" ht="27.95" customHeight="1">
      <c r="A151" s="117" t="s">
        <v>300</v>
      </c>
      <c r="B151" s="117" t="s">
        <v>35</v>
      </c>
      <c r="C151" s="117" t="s">
        <v>112</v>
      </c>
      <c r="D151" s="118">
        <v>93</v>
      </c>
      <c r="E151" s="118">
        <f>'93'!N54</f>
        <v>0</v>
      </c>
      <c r="F151" s="117" t="s">
        <v>81</v>
      </c>
      <c r="G151" s="117" t="s">
        <v>80</v>
      </c>
      <c r="H151" s="117"/>
    </row>
    <row r="152" spans="1:8" ht="27.95" customHeight="1">
      <c r="A152" s="117" t="s">
        <v>301</v>
      </c>
      <c r="B152" s="117" t="s">
        <v>106</v>
      </c>
      <c r="C152" s="117" t="s">
        <v>110</v>
      </c>
      <c r="D152" s="118">
        <v>93</v>
      </c>
      <c r="E152" s="118">
        <f>'93'!M65</f>
        <v>0</v>
      </c>
      <c r="F152" s="117" t="s">
        <v>81</v>
      </c>
      <c r="G152" s="117" t="s">
        <v>104</v>
      </c>
      <c r="H152" s="117"/>
    </row>
    <row r="153" spans="1:8" ht="27.95" customHeight="1">
      <c r="A153" s="117" t="s">
        <v>302</v>
      </c>
      <c r="B153" s="117" t="s">
        <v>106</v>
      </c>
      <c r="C153" s="117" t="s">
        <v>108</v>
      </c>
      <c r="D153" s="118">
        <v>93</v>
      </c>
      <c r="E153" s="118">
        <f>'93'!M63</f>
        <v>0</v>
      </c>
      <c r="F153" s="117" t="s">
        <v>81</v>
      </c>
      <c r="G153" s="117" t="s">
        <v>104</v>
      </c>
      <c r="H153" s="117"/>
    </row>
    <row r="154" spans="1:8" ht="27.95" customHeight="1">
      <c r="A154" s="117" t="s">
        <v>303</v>
      </c>
      <c r="B154" s="117" t="s">
        <v>106</v>
      </c>
      <c r="C154" s="117" t="s">
        <v>105</v>
      </c>
      <c r="D154" s="118">
        <v>93</v>
      </c>
      <c r="E154" s="118">
        <f>'93'!Q59</f>
        <v>0</v>
      </c>
      <c r="F154" s="117" t="s">
        <v>81</v>
      </c>
      <c r="G154" s="117" t="s">
        <v>80</v>
      </c>
      <c r="H154" s="117" t="s">
        <v>182</v>
      </c>
    </row>
    <row r="155" spans="1:8" ht="27.95" customHeight="1">
      <c r="A155" s="117" t="s">
        <v>304</v>
      </c>
      <c r="B155" s="117" t="s">
        <v>106</v>
      </c>
      <c r="C155" s="117" t="s">
        <v>105</v>
      </c>
      <c r="D155" s="118">
        <v>93</v>
      </c>
      <c r="E155" s="118">
        <f>'93'!Q60</f>
        <v>0</v>
      </c>
      <c r="F155" s="117" t="s">
        <v>81</v>
      </c>
      <c r="G155" s="117" t="s">
        <v>80</v>
      </c>
      <c r="H155" s="117"/>
    </row>
    <row r="156" spans="1:8" ht="27.95" customHeight="1">
      <c r="A156" s="117" t="s">
        <v>305</v>
      </c>
      <c r="B156" s="117" t="s">
        <v>106</v>
      </c>
      <c r="C156" s="117" t="s">
        <v>105</v>
      </c>
      <c r="D156" s="118">
        <v>93</v>
      </c>
      <c r="E156" s="118">
        <f>'93'!Q61</f>
        <v>0</v>
      </c>
      <c r="F156" s="117" t="s">
        <v>81</v>
      </c>
      <c r="G156" s="117" t="s">
        <v>80</v>
      </c>
      <c r="H156" s="117"/>
    </row>
    <row r="157" spans="1:8" ht="27.95" customHeight="1">
      <c r="A157" s="117" t="s">
        <v>306</v>
      </c>
      <c r="B157" s="117" t="s">
        <v>106</v>
      </c>
      <c r="C157" s="117" t="s">
        <v>105</v>
      </c>
      <c r="D157" s="118">
        <v>93</v>
      </c>
      <c r="E157" s="118">
        <f>'93'!S59</f>
        <v>0</v>
      </c>
      <c r="F157" s="117" t="s">
        <v>81</v>
      </c>
      <c r="G157" s="117" t="s">
        <v>80</v>
      </c>
      <c r="H157" s="117" t="s">
        <v>183</v>
      </c>
    </row>
    <row r="158" spans="1:8" ht="27.95" customHeight="1">
      <c r="A158" s="117" t="s">
        <v>307</v>
      </c>
      <c r="B158" s="117" t="s">
        <v>106</v>
      </c>
      <c r="C158" s="117" t="s">
        <v>105</v>
      </c>
      <c r="D158" s="118">
        <v>93</v>
      </c>
      <c r="E158" s="118">
        <f>'93'!S60</f>
        <v>0</v>
      </c>
      <c r="F158" s="117" t="s">
        <v>81</v>
      </c>
      <c r="G158" s="117" t="s">
        <v>80</v>
      </c>
      <c r="H158" s="117"/>
    </row>
    <row r="159" spans="1:8" ht="27.95" customHeight="1">
      <c r="A159" s="117" t="s">
        <v>308</v>
      </c>
      <c r="B159" s="117" t="s">
        <v>106</v>
      </c>
      <c r="C159" s="117" t="s">
        <v>105</v>
      </c>
      <c r="D159" s="118">
        <v>93</v>
      </c>
      <c r="E159" s="118">
        <f>'93'!S61</f>
        <v>0</v>
      </c>
      <c r="F159" s="117" t="s">
        <v>81</v>
      </c>
      <c r="G159" s="117" t="s">
        <v>80</v>
      </c>
      <c r="H159" s="117"/>
    </row>
    <row r="160" spans="1:8" ht="27.95" customHeight="1">
      <c r="A160" s="117" t="s">
        <v>309</v>
      </c>
      <c r="B160" s="117" t="s">
        <v>98</v>
      </c>
      <c r="C160" s="117" t="s">
        <v>102</v>
      </c>
      <c r="D160" s="118">
        <v>93</v>
      </c>
      <c r="E160" s="118">
        <f>'93'!C79</f>
        <v>0</v>
      </c>
      <c r="F160" s="117" t="s">
        <v>96</v>
      </c>
      <c r="G160" s="117" t="s">
        <v>95</v>
      </c>
      <c r="H160" s="117"/>
    </row>
    <row r="161" spans="1:8" ht="27.95" customHeight="1">
      <c r="A161" s="117" t="s">
        <v>310</v>
      </c>
      <c r="B161" s="117" t="s">
        <v>98</v>
      </c>
      <c r="C161" s="117" t="s">
        <v>100</v>
      </c>
      <c r="D161" s="118">
        <v>93</v>
      </c>
      <c r="E161" s="118">
        <f>'93'!C80</f>
        <v>0</v>
      </c>
      <c r="F161" s="117" t="s">
        <v>96</v>
      </c>
      <c r="G161" s="117" t="s">
        <v>95</v>
      </c>
      <c r="H161" s="117"/>
    </row>
    <row r="162" spans="1:8" ht="27.95" customHeight="1">
      <c r="A162" s="117" t="s">
        <v>311</v>
      </c>
      <c r="B162" s="117" t="s">
        <v>98</v>
      </c>
      <c r="C162" s="117" t="s">
        <v>97</v>
      </c>
      <c r="D162" s="118">
        <v>93</v>
      </c>
      <c r="E162" s="118">
        <f>'93'!C78</f>
        <v>0</v>
      </c>
      <c r="F162" s="117" t="s">
        <v>96</v>
      </c>
      <c r="G162" s="117" t="s">
        <v>95</v>
      </c>
      <c r="H162" s="117"/>
    </row>
    <row r="163" spans="1:8" ht="27.95" customHeight="1">
      <c r="A163" s="117" t="s">
        <v>312</v>
      </c>
      <c r="B163" s="117" t="s">
        <v>98</v>
      </c>
      <c r="C163" s="193">
        <v>8.3333333333333329E-2</v>
      </c>
      <c r="D163" s="118">
        <v>93</v>
      </c>
      <c r="E163" s="118">
        <f>'93'!F78</f>
        <v>0</v>
      </c>
      <c r="F163" s="117" t="s">
        <v>96</v>
      </c>
      <c r="G163" s="117" t="s">
        <v>95</v>
      </c>
      <c r="H163" s="117"/>
    </row>
    <row r="164" spans="1:8" ht="27.95" customHeight="1">
      <c r="A164" s="117" t="s">
        <v>313</v>
      </c>
      <c r="B164" s="117" t="s">
        <v>98</v>
      </c>
      <c r="C164" s="193">
        <v>0.16666666666666666</v>
      </c>
      <c r="D164" s="118">
        <v>93</v>
      </c>
      <c r="E164" s="118">
        <f>'93'!G78</f>
        <v>0</v>
      </c>
      <c r="F164" s="117" t="s">
        <v>96</v>
      </c>
      <c r="G164" s="117" t="s">
        <v>95</v>
      </c>
      <c r="H164" s="117"/>
    </row>
    <row r="165" spans="1:8" ht="27.95" customHeight="1">
      <c r="A165" s="117" t="s">
        <v>314</v>
      </c>
      <c r="B165" s="117" t="s">
        <v>98</v>
      </c>
      <c r="C165" s="193">
        <v>0.25</v>
      </c>
      <c r="D165" s="118">
        <v>93</v>
      </c>
      <c r="E165" s="118">
        <f>'93'!H78</f>
        <v>0</v>
      </c>
      <c r="F165" s="117" t="s">
        <v>96</v>
      </c>
      <c r="G165" s="117" t="s">
        <v>95</v>
      </c>
      <c r="H165" s="117"/>
    </row>
    <row r="166" spans="1:8" ht="27.95" customHeight="1">
      <c r="A166" s="117" t="s">
        <v>315</v>
      </c>
      <c r="B166" s="117" t="s">
        <v>98</v>
      </c>
      <c r="C166" s="193">
        <v>0.33333333333333298</v>
      </c>
      <c r="D166" s="118">
        <v>93</v>
      </c>
      <c r="E166" s="118">
        <f>'93'!J78</f>
        <v>0</v>
      </c>
      <c r="F166" s="117" t="s">
        <v>96</v>
      </c>
      <c r="G166" s="117" t="s">
        <v>95</v>
      </c>
      <c r="H166" s="117"/>
    </row>
    <row r="167" spans="1:8" ht="27.95" customHeight="1">
      <c r="A167" s="117" t="s">
        <v>316</v>
      </c>
      <c r="B167" s="117" t="s">
        <v>98</v>
      </c>
      <c r="C167" s="193">
        <v>0.41666666666666602</v>
      </c>
      <c r="D167" s="118">
        <v>93</v>
      </c>
      <c r="E167" s="118">
        <f>'93'!L78</f>
        <v>0</v>
      </c>
      <c r="F167" s="117" t="s">
        <v>96</v>
      </c>
      <c r="G167" s="117" t="s">
        <v>95</v>
      </c>
      <c r="H167" s="117"/>
    </row>
    <row r="168" spans="1:8" ht="27.95" customHeight="1">
      <c r="A168" s="117" t="s">
        <v>317</v>
      </c>
      <c r="B168" s="117" t="s">
        <v>98</v>
      </c>
      <c r="C168" s="193">
        <v>0.499999999999999</v>
      </c>
      <c r="D168" s="118">
        <v>93</v>
      </c>
      <c r="E168" s="118">
        <f>'93'!M78</f>
        <v>0</v>
      </c>
      <c r="F168" s="117" t="s">
        <v>96</v>
      </c>
      <c r="G168" s="117" t="s">
        <v>95</v>
      </c>
      <c r="H168" s="117"/>
    </row>
    <row r="169" spans="1:8" ht="27.95" customHeight="1">
      <c r="A169" s="117" t="s">
        <v>318</v>
      </c>
      <c r="B169" s="117" t="s">
        <v>98</v>
      </c>
      <c r="C169" s="193">
        <v>0.58333333333333204</v>
      </c>
      <c r="D169" s="118">
        <v>93</v>
      </c>
      <c r="E169" s="118">
        <f>'93'!N78</f>
        <v>0</v>
      </c>
      <c r="F169" s="117" t="s">
        <v>96</v>
      </c>
      <c r="G169" s="117" t="s">
        <v>95</v>
      </c>
      <c r="H169" s="117"/>
    </row>
    <row r="170" spans="1:8" ht="27.95" customHeight="1">
      <c r="A170" s="117" t="s">
        <v>319</v>
      </c>
      <c r="B170" s="117" t="s">
        <v>98</v>
      </c>
      <c r="C170" s="193">
        <v>0.66666666666666496</v>
      </c>
      <c r="D170" s="118">
        <v>93</v>
      </c>
      <c r="E170" s="118">
        <f>'93'!O78</f>
        <v>0</v>
      </c>
      <c r="F170" s="117" t="s">
        <v>96</v>
      </c>
      <c r="G170" s="117" t="s">
        <v>95</v>
      </c>
      <c r="H170" s="117"/>
    </row>
    <row r="171" spans="1:8" ht="27.95" customHeight="1">
      <c r="A171" s="117" t="s">
        <v>320</v>
      </c>
      <c r="B171" s="117" t="s">
        <v>98</v>
      </c>
      <c r="C171" s="193">
        <v>0.749999999999998</v>
      </c>
      <c r="D171" s="118">
        <v>93</v>
      </c>
      <c r="E171" s="118">
        <f>'93'!P78</f>
        <v>0</v>
      </c>
      <c r="F171" s="117" t="s">
        <v>96</v>
      </c>
      <c r="G171" s="117" t="s">
        <v>95</v>
      </c>
      <c r="H171" s="117"/>
    </row>
    <row r="172" spans="1:8" ht="27.95" customHeight="1">
      <c r="A172" s="117" t="s">
        <v>321</v>
      </c>
      <c r="B172" s="117" t="s">
        <v>98</v>
      </c>
      <c r="C172" s="193">
        <v>0.83333333333333104</v>
      </c>
      <c r="D172" s="118">
        <v>93</v>
      </c>
      <c r="E172" s="118">
        <f>'93'!Q78</f>
        <v>0</v>
      </c>
      <c r="F172" s="117" t="s">
        <v>96</v>
      </c>
      <c r="G172" s="117" t="s">
        <v>95</v>
      </c>
      <c r="H172" s="117"/>
    </row>
    <row r="173" spans="1:8" ht="27.95" customHeight="1">
      <c r="A173" s="117" t="s">
        <v>322</v>
      </c>
      <c r="B173" s="117" t="s">
        <v>98</v>
      </c>
      <c r="C173" s="193">
        <v>0.91666666666666397</v>
      </c>
      <c r="D173" s="118">
        <v>93</v>
      </c>
      <c r="E173" s="118">
        <f>'93'!R78</f>
        <v>0</v>
      </c>
      <c r="F173" s="117" t="s">
        <v>96</v>
      </c>
      <c r="G173" s="117" t="s">
        <v>95</v>
      </c>
      <c r="H173" s="117"/>
    </row>
    <row r="174" spans="1:8" ht="27.95" customHeight="1">
      <c r="A174" s="117" t="s">
        <v>323</v>
      </c>
      <c r="B174" s="117" t="s">
        <v>98</v>
      </c>
      <c r="C174" s="193">
        <v>0.999999999999997</v>
      </c>
      <c r="D174" s="118">
        <v>93</v>
      </c>
      <c r="E174" s="118">
        <f>'93'!S78</f>
        <v>0</v>
      </c>
      <c r="F174" s="117" t="s">
        <v>96</v>
      </c>
      <c r="G174" s="117" t="s">
        <v>95</v>
      </c>
      <c r="H174" s="117"/>
    </row>
    <row r="175" spans="1:8" ht="27.95" customHeight="1">
      <c r="A175" s="117" t="s">
        <v>324</v>
      </c>
      <c r="B175" s="117" t="s">
        <v>62</v>
      </c>
      <c r="C175" s="117" t="s">
        <v>93</v>
      </c>
      <c r="D175" s="118">
        <v>93</v>
      </c>
      <c r="E175" s="118">
        <f>'93'!A82</f>
        <v>0</v>
      </c>
      <c r="F175" s="117" t="s">
        <v>92</v>
      </c>
      <c r="G175" s="117"/>
      <c r="H175" s="117" t="s">
        <v>91</v>
      </c>
    </row>
    <row r="176" spans="1:8" ht="27.95" customHeight="1">
      <c r="A176" s="117" t="s">
        <v>325</v>
      </c>
      <c r="B176" s="117" t="s">
        <v>82</v>
      </c>
      <c r="C176" s="117" t="s">
        <v>89</v>
      </c>
      <c r="D176" s="118">
        <v>93</v>
      </c>
      <c r="E176" s="118">
        <f>'93'!N82</f>
        <v>0</v>
      </c>
      <c r="F176" s="117" t="s">
        <v>81</v>
      </c>
      <c r="G176" s="117" t="s">
        <v>80</v>
      </c>
      <c r="H176" s="117"/>
    </row>
    <row r="177" spans="1:8" ht="27.95" customHeight="1">
      <c r="A177" s="117" t="s">
        <v>326</v>
      </c>
      <c r="B177" s="117" t="s">
        <v>82</v>
      </c>
      <c r="C177" s="117" t="s">
        <v>87</v>
      </c>
      <c r="D177" s="118">
        <v>93</v>
      </c>
      <c r="E177" s="118">
        <f>'93'!M82</f>
        <v>0</v>
      </c>
      <c r="F177" s="117" t="s">
        <v>86</v>
      </c>
      <c r="G177" s="117" t="s">
        <v>80</v>
      </c>
      <c r="H177" s="117"/>
    </row>
    <row r="178" spans="1:8" ht="27.95" customHeight="1">
      <c r="A178" s="117" t="s">
        <v>327</v>
      </c>
      <c r="B178" s="117" t="s">
        <v>82</v>
      </c>
      <c r="C178" s="117" t="s">
        <v>84</v>
      </c>
      <c r="D178" s="118">
        <v>93</v>
      </c>
      <c r="E178" s="118">
        <f>'93'!P82</f>
        <v>0</v>
      </c>
      <c r="F178" s="117" t="s">
        <v>81</v>
      </c>
      <c r="G178" s="117" t="s">
        <v>80</v>
      </c>
      <c r="H178" s="117"/>
    </row>
    <row r="179" spans="1:8" ht="24.75" customHeight="1">
      <c r="A179" s="117" t="s">
        <v>328</v>
      </c>
      <c r="B179" s="194" t="s">
        <v>186</v>
      </c>
      <c r="C179" s="194" t="s">
        <v>119</v>
      </c>
      <c r="D179" s="118">
        <v>93</v>
      </c>
      <c r="E179" s="118">
        <f>'93'!M76</f>
        <v>0</v>
      </c>
      <c r="F179" s="117" t="s">
        <v>81</v>
      </c>
      <c r="G179" s="117"/>
      <c r="H179" s="117"/>
    </row>
    <row r="180" spans="1:8" ht="24.75" customHeight="1">
      <c r="A180" s="117" t="s">
        <v>329</v>
      </c>
      <c r="B180" s="194" t="s">
        <v>186</v>
      </c>
      <c r="C180" s="194" t="s">
        <v>119</v>
      </c>
      <c r="D180" s="118">
        <v>93</v>
      </c>
      <c r="E180" s="118">
        <f>'93'!N76</f>
        <v>0</v>
      </c>
      <c r="F180" s="117" t="s">
        <v>81</v>
      </c>
      <c r="G180" s="117"/>
      <c r="H180" s="117"/>
    </row>
    <row r="181" spans="1:8" ht="24.75" customHeight="1">
      <c r="A181" s="117" t="s">
        <v>330</v>
      </c>
      <c r="B181" s="194" t="s">
        <v>186</v>
      </c>
      <c r="C181" s="194" t="s">
        <v>119</v>
      </c>
      <c r="D181" s="118">
        <v>93</v>
      </c>
      <c r="E181" s="118">
        <f>'93'!O76</f>
        <v>0</v>
      </c>
      <c r="F181" s="117" t="s">
        <v>81</v>
      </c>
      <c r="G181" s="117"/>
      <c r="H181" s="117"/>
    </row>
    <row r="182" spans="1:8" ht="24.75" customHeight="1">
      <c r="A182" s="117" t="s">
        <v>331</v>
      </c>
      <c r="B182" s="194" t="s">
        <v>187</v>
      </c>
      <c r="C182" s="194" t="s">
        <v>119</v>
      </c>
      <c r="D182" s="118">
        <v>93</v>
      </c>
      <c r="E182" s="118">
        <f>'93'!P76</f>
        <v>0</v>
      </c>
      <c r="F182" s="117" t="s">
        <v>81</v>
      </c>
      <c r="G182" s="117"/>
      <c r="H182" s="117"/>
    </row>
    <row r="183" spans="1:8" ht="24.75" customHeight="1">
      <c r="A183" s="117" t="s">
        <v>332</v>
      </c>
      <c r="B183" s="194" t="s">
        <v>187</v>
      </c>
      <c r="C183" s="194" t="s">
        <v>119</v>
      </c>
      <c r="D183" s="118">
        <v>93</v>
      </c>
      <c r="E183" s="118">
        <f>'93'!Q76</f>
        <v>0</v>
      </c>
      <c r="F183" s="117" t="s">
        <v>81</v>
      </c>
      <c r="G183" s="117"/>
      <c r="H183" s="117"/>
    </row>
    <row r="184" spans="1:8" ht="24.75" customHeight="1">
      <c r="A184" s="117" t="s">
        <v>333</v>
      </c>
      <c r="B184" s="194" t="s">
        <v>187</v>
      </c>
      <c r="C184" s="194" t="s">
        <v>119</v>
      </c>
      <c r="D184" s="118">
        <v>93</v>
      </c>
      <c r="E184" s="118">
        <f>'93'!R76</f>
        <v>0</v>
      </c>
      <c r="F184" s="117" t="s">
        <v>81</v>
      </c>
      <c r="G184" s="117"/>
      <c r="H184" s="117"/>
    </row>
    <row r="185" spans="1:8" ht="24.75" customHeight="1">
      <c r="A185" s="117" t="s">
        <v>334</v>
      </c>
      <c r="B185" s="194" t="s">
        <v>187</v>
      </c>
      <c r="C185" s="194" t="s">
        <v>119</v>
      </c>
      <c r="D185" s="118">
        <v>93</v>
      </c>
      <c r="E185" s="118">
        <f>'93'!S76</f>
        <v>0</v>
      </c>
      <c r="F185" s="117" t="s">
        <v>81</v>
      </c>
      <c r="G185" s="117"/>
      <c r="H185" s="117"/>
    </row>
    <row r="186" spans="1:8" ht="39" customHeight="1">
      <c r="A186" s="117" t="s">
        <v>335</v>
      </c>
      <c r="B186" s="194" t="s">
        <v>188</v>
      </c>
      <c r="C186" s="194" t="s">
        <v>41</v>
      </c>
      <c r="D186" s="118">
        <v>93</v>
      </c>
      <c r="E186" s="118">
        <f>'93'!N71</f>
        <v>0</v>
      </c>
      <c r="F186" s="194" t="s">
        <v>96</v>
      </c>
      <c r="G186" s="117" t="s">
        <v>80</v>
      </c>
      <c r="H186" s="117"/>
    </row>
    <row r="187" spans="1:8" ht="39" customHeight="1">
      <c r="A187" s="117" t="s">
        <v>336</v>
      </c>
      <c r="B187" s="194" t="s">
        <v>188</v>
      </c>
      <c r="C187" s="194" t="s">
        <v>42</v>
      </c>
      <c r="D187" s="118">
        <v>93</v>
      </c>
      <c r="E187" s="118">
        <f>'93'!O71</f>
        <v>0</v>
      </c>
      <c r="F187" s="194" t="s">
        <v>81</v>
      </c>
      <c r="G187" s="117" t="s">
        <v>80</v>
      </c>
      <c r="H187" s="117"/>
    </row>
    <row r="188" spans="1:8" ht="39" customHeight="1">
      <c r="A188" s="117" t="s">
        <v>337</v>
      </c>
      <c r="B188" s="194" t="s">
        <v>188</v>
      </c>
      <c r="C188" s="194" t="s">
        <v>189</v>
      </c>
      <c r="D188" s="118">
        <v>93</v>
      </c>
      <c r="E188" s="118">
        <f>'93'!P71</f>
        <v>0</v>
      </c>
      <c r="F188" s="194" t="s">
        <v>96</v>
      </c>
      <c r="G188" s="117" t="s">
        <v>80</v>
      </c>
      <c r="H188" s="117"/>
    </row>
    <row r="189" spans="1:8" ht="39" customHeight="1">
      <c r="A189" s="117" t="s">
        <v>338</v>
      </c>
      <c r="B189" s="194" t="s">
        <v>188</v>
      </c>
      <c r="C189" s="194" t="s">
        <v>44</v>
      </c>
      <c r="D189" s="118">
        <v>93</v>
      </c>
      <c r="E189" s="118">
        <f>'93'!Q71</f>
        <v>0</v>
      </c>
      <c r="F189" s="194" t="s">
        <v>96</v>
      </c>
      <c r="G189" s="117" t="s">
        <v>80</v>
      </c>
      <c r="H189" s="117"/>
    </row>
    <row r="190" spans="1:8" ht="39" customHeight="1">
      <c r="A190" s="117" t="s">
        <v>339</v>
      </c>
      <c r="B190" s="194" t="s">
        <v>188</v>
      </c>
      <c r="C190" s="194" t="s">
        <v>45</v>
      </c>
      <c r="D190" s="118">
        <v>93</v>
      </c>
      <c r="E190" s="118">
        <f>'93'!R71</f>
        <v>0</v>
      </c>
      <c r="F190" s="194" t="s">
        <v>96</v>
      </c>
      <c r="G190" s="117" t="s">
        <v>80</v>
      </c>
      <c r="H190" s="117"/>
    </row>
    <row r="191" spans="1:8" ht="39" customHeight="1">
      <c r="A191" s="117" t="s">
        <v>340</v>
      </c>
      <c r="B191" s="194" t="s">
        <v>188</v>
      </c>
      <c r="C191" s="194" t="s">
        <v>14</v>
      </c>
      <c r="D191" s="118">
        <v>93</v>
      </c>
      <c r="E191" s="118">
        <f>'93'!S71</f>
        <v>0</v>
      </c>
      <c r="F191" s="194" t="s">
        <v>81</v>
      </c>
      <c r="G191" s="117" t="s">
        <v>80</v>
      </c>
      <c r="H191" s="117"/>
    </row>
    <row r="192" spans="1:8" ht="39" customHeight="1">
      <c r="B192" s="194"/>
      <c r="C192" s="194"/>
      <c r="D192" s="118"/>
      <c r="E192" s="118"/>
      <c r="F192" s="117"/>
      <c r="G192" s="117"/>
      <c r="H192" s="117"/>
    </row>
    <row r="193" spans="2:8" ht="39" customHeight="1">
      <c r="B193" s="194"/>
      <c r="C193" s="117"/>
      <c r="D193" s="118"/>
      <c r="E193" s="118"/>
      <c r="F193" s="117"/>
      <c r="G193" s="117"/>
      <c r="H193" s="117"/>
    </row>
  </sheetData>
  <mergeCells count="2">
    <mergeCell ref="A1:H1"/>
    <mergeCell ref="A2:H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93</vt:lpstr>
      <vt:lpstr>Карта экспорт</vt:lpstr>
      <vt:lpstr>'93'!Область_печати</vt:lpstr>
    </vt:vector>
  </TitlesOfParts>
  <Company>UralSOFT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2026-09-23T02:51:43Z</dcterms:created>
  <dcterms:modified xsi:type="dcterms:W3CDTF">2026-09-27T07:29:37Z</dcterms:modified>
</cp:coreProperties>
</file>